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 name="How to use" sheetId="3" state="visible" r:id="rId3"/>
    <sheet name="Reference" sheetId="4" state="visible" r:id="rId4"/>
  </sheets>
  <definedNames>
    <definedName name="_xlnm._FilterDatabase" localSheetId="0" hidden="1">'Test Cases'!$A$1:$J$239</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Arial"/>
      <b val="1"/>
      <color rgb="00FFFFFF"/>
      <sz val="10"/>
    </font>
    <font>
      <name val="Arial"/>
      <sz val="9"/>
    </font>
    <font>
      <name val="Arial"/>
      <b val="1"/>
      <color rgb="00EA580C"/>
      <sz val="9"/>
    </font>
    <font>
      <name val="Arial"/>
      <b val="1"/>
      <color rgb="0014532D"/>
      <sz val="13"/>
    </font>
    <font>
      <name val="Arial"/>
      <i val="1"/>
      <color rgb="005B6B60"/>
      <sz val="9"/>
    </font>
    <font>
      <name val="Arial"/>
      <b val="1"/>
      <color rgb="0014532D"/>
      <sz val="10"/>
    </font>
    <font>
      <name val="Arial"/>
      <b val="1"/>
      <sz val="10"/>
    </font>
    <font>
      <name val="Arial"/>
      <b val="1"/>
      <color rgb="0014532D"/>
      <sz val="14"/>
    </font>
    <font>
      <name val="Arial"/>
      <sz val="10"/>
    </font>
    <font>
      <name val="Arial"/>
      <b val="1"/>
      <color rgb="00FFFFFF"/>
      <sz val="9"/>
    </font>
    <font>
      <name val="Arial"/>
      <b val="1"/>
      <color rgb="0014532D"/>
      <sz val="11"/>
    </font>
    <font>
      <name val="Arial"/>
      <b val="1"/>
      <sz val="9"/>
    </font>
    <font>
      <name val="Consolas"/>
      <sz val="9"/>
    </font>
    <font>
      <name val="Consolas"/>
      <sz val="8.5"/>
    </font>
  </fonts>
  <fills count="5">
    <fill>
      <patternFill/>
    </fill>
    <fill>
      <patternFill patternType="gray125"/>
    </fill>
    <fill>
      <patternFill patternType="solid">
        <fgColor rgb="0014532D"/>
      </patternFill>
    </fill>
    <fill>
      <patternFill patternType="solid">
        <fgColor rgb="00FFF9DB"/>
      </patternFill>
    </fill>
    <fill>
      <patternFill patternType="solid">
        <fgColor rgb="00F4F7F4"/>
      </patternFill>
    </fill>
  </fills>
  <borders count="3">
    <border>
      <left/>
      <right/>
      <top/>
      <bottom/>
      <diagonal/>
    </border>
    <border>
      <left style="thin">
        <color rgb="00CBD8CE"/>
      </left>
      <right style="thin">
        <color rgb="00CBD8CE"/>
      </right>
      <top style="thin">
        <color rgb="00CBD8CE"/>
      </top>
      <bottom style="thin">
        <color rgb="00CBD8CE"/>
      </bottom>
    </border>
    <border>
      <left style="thin">
        <color rgb="00CBD8CE"/>
      </left>
      <right style="thin">
        <color rgb="00CBD8CE"/>
      </right>
      <top style="medium">
        <color rgb="0014532D"/>
      </top>
      <bottom style="thin">
        <color rgb="00CBD8CE"/>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1" fillId="2" borderId="1" applyAlignment="1" pivotButton="0" quotePrefix="0" xfId="0">
      <alignment horizontal="left"/>
    </xf>
    <xf numFmtId="0" fontId="1" fillId="2" borderId="1" applyAlignment="1" pivotButton="0" quotePrefix="0" xfId="0">
      <alignment horizontal="center"/>
    </xf>
    <xf numFmtId="0" fontId="2"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2" fillId="4" borderId="1" pivotButton="0" quotePrefix="0" xfId="0"/>
    <xf numFmtId="0" fontId="2" fillId="4" borderId="1" applyAlignment="1" pivotButton="0" quotePrefix="0" xfId="0">
      <alignment horizontal="center"/>
    </xf>
    <xf numFmtId="9" fontId="2" fillId="4" borderId="1" applyAlignment="1" pivotButton="0" quotePrefix="0" xfId="0">
      <alignment horizontal="center"/>
    </xf>
    <xf numFmtId="0" fontId="7" fillId="0" borderId="2" pivotButton="0" quotePrefix="0" xfId="0"/>
    <xf numFmtId="0" fontId="7" fillId="0" borderId="2" applyAlignment="1" pivotButton="0" quotePrefix="0" xfId="0">
      <alignment horizontal="center"/>
    </xf>
    <xf numFmtId="9" fontId="7" fillId="0" borderId="2" applyAlignment="1" pivotButton="0" quotePrefix="0" xfId="0">
      <alignment horizontal="center"/>
    </xf>
    <xf numFmtId="0" fontId="8" fillId="0" borderId="0" pivotButton="0" quotePrefix="0" xfId="0"/>
    <xf numFmtId="0" fontId="6" fillId="0" borderId="0" applyAlignment="1" pivotButton="0" quotePrefix="0" xfId="0">
      <alignment vertical="top"/>
    </xf>
    <xf numFmtId="0" fontId="9" fillId="0" borderId="0" applyAlignment="1" pivotButton="0" quotePrefix="0" xfId="0">
      <alignment vertical="top" wrapText="1"/>
    </xf>
    <xf numFmtId="0" fontId="7" fillId="0" borderId="0" applyAlignment="1" pivotButton="0" quotePrefix="0" xfId="0">
      <alignment vertical="top" wrapText="1"/>
    </xf>
    <xf numFmtId="0" fontId="10" fillId="2" borderId="1" pivotButton="0" quotePrefix="0" xfId="0"/>
    <xf numFmtId="0" fontId="2" fillId="3" borderId="1" pivotButton="0" quotePrefix="0" xfId="0"/>
    <xf numFmtId="0" fontId="11" fillId="0" borderId="0" pivotButton="0" quotePrefix="0" xfId="0"/>
    <xf numFmtId="0" fontId="12" fillId="0" borderId="0" pivotButton="0" quotePrefix="0" xfId="0"/>
    <xf numFmtId="0" fontId="13" fillId="0" borderId="0" applyAlignment="1" pivotButton="0" quotePrefix="0" xfId="0">
      <alignment vertical="top" wrapText="1"/>
    </xf>
    <xf numFmtId="0" fontId="12" fillId="0" borderId="1" applyAlignment="1" pivotButton="0" quotePrefix="0" xfId="0">
      <alignment vertical="top" wrapText="1"/>
    </xf>
    <xf numFmtId="0" fontId="14" fillId="0" borderId="1" applyAlignment="1" pivotButton="0" quotePrefix="0" xfId="0">
      <alignment vertical="top" wrapText="1"/>
    </xf>
    <xf numFmtId="0" fontId="13" fillId="0" borderId="1" pivotButton="0" quotePrefix="0" xfId="0"/>
  </cellXfs>
  <cellStyles count="1">
    <cellStyle name="Normal" xfId="0" builtinId="0" hidden="0"/>
  </cellStyles>
  <dxfs count="3">
    <dxf>
      <fill>
        <patternFill patternType="solid">
          <fgColor rgb="00D7F0DC"/>
        </patternFill>
      </fill>
    </dxf>
    <dxf>
      <fill>
        <patternFill patternType="solid">
          <fgColor rgb="00FBD9D9"/>
        </patternFill>
      </fill>
    </dxf>
    <dxf>
      <fill>
        <patternFill patternType="solid">
          <fgColor rgb="00FDEC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34" customWidth="1" min="3" max="3"/>
    <col width="62" customWidth="1" min="4" max="4"/>
    <col width="52" customWidth="1" min="5" max="5"/>
    <col width="46" customWidth="1" min="6" max="6"/>
    <col width="12" customWidth="1" min="7" max="7"/>
    <col width="16" customWidth="1" min="8" max="8"/>
    <col width="12" customWidth="1" min="9" max="9"/>
    <col width="34" customWidth="1" min="10" max="10"/>
  </cols>
  <sheetData>
    <row r="1" ht="26" customHeight="1">
      <c r="A1" s="1" t="inlineStr">
        <is>
          <t>Module</t>
        </is>
      </c>
      <c r="B1" s="1" t="inlineStr">
        <is>
          <t>ID</t>
        </is>
      </c>
      <c r="C1" s="1" t="inlineStr">
        <is>
          <t>Test</t>
        </is>
      </c>
      <c r="D1" s="1" t="inlineStr">
        <is>
          <t>How to test</t>
        </is>
      </c>
      <c r="E1" s="1" t="inlineStr">
        <is>
          <t>Expected result</t>
        </is>
      </c>
      <c r="F1" s="1" t="inlineStr">
        <is>
          <t>Verify with</t>
        </is>
      </c>
      <c r="G1" s="1" t="inlineStr">
        <is>
          <t>Result</t>
        </is>
      </c>
      <c r="H1" s="1" t="inlineStr">
        <is>
          <t>Tester</t>
        </is>
      </c>
      <c r="I1" s="1" t="inlineStr">
        <is>
          <t>Date</t>
        </is>
      </c>
      <c r="J1" s="1" t="inlineStr">
        <is>
          <t>Notes / defect ref</t>
        </is>
      </c>
    </row>
    <row r="2">
      <c r="A2" s="2" t="inlineStr">
        <is>
          <t>1. Environment, Build and Deployment</t>
        </is>
      </c>
      <c r="B2" s="3" t="inlineStr">
        <is>
          <t>ENV-01</t>
        </is>
      </c>
      <c r="C2" s="2" t="inlineStr">
        <is>
          <t>Deployed build matches the intended commit</t>
        </is>
      </c>
      <c r="D2" s="2" t="inlineStr">
        <is>
          <t>On the VPS run: cd /opt/deskportal &amp;&amp; git log --oneline -1. Compare with the commit you expect. Then check the running image is newer than that commit: docker inspect -f '{{.Created}}' $(docker inspect -f '{{.Image}}' desk-portal-prod-api-1)</t>
        </is>
      </c>
      <c r="E2" s="2" t="inlineStr">
        <is>
          <t>Repo HEAD equals the intended commit AND the image was built after it.</t>
        </is>
      </c>
      <c r="F2" s="2" t="inlineStr">
        <is>
          <t>SSH + docker inspect. If the image predates the commit, the deploy did not rebuild - re-run compose up -d --build before testing anything else.</t>
        </is>
      </c>
      <c r="G2" s="4" t="inlineStr">
        <is>
          <t>Not run</t>
        </is>
      </c>
      <c r="H2" s="4" t="inlineStr"/>
      <c r="I2" s="5" t="inlineStr"/>
      <c r="J2" s="4" t="inlineStr"/>
    </row>
    <row r="3">
      <c r="A3" s="2" t="inlineStr">
        <is>
          <t>1. Environment, Build and Deployment</t>
        </is>
      </c>
      <c r="B3" s="3" t="inlineStr">
        <is>
          <t>ENV-02</t>
        </is>
      </c>
      <c r="C3" s="2" t="inlineStr">
        <is>
          <t>All containers healthy</t>
        </is>
      </c>
      <c r="D3" s="2" t="inlineStr">
        <is>
          <t>docker ps --format '{{.Names}}\t{{.Status}}' | grep desk-portal</t>
        </is>
      </c>
      <c r="E3" s="2" t="inlineStr">
        <is>
          <t>api, worker, web, postgres, keycloak all Up. Postgres reports (healthy).</t>
        </is>
      </c>
      <c r="F3" s="2" t="inlineStr">
        <is>
          <t>Any container restarting in a loop usually means a pending EF migration - check docker logs desk-portal-prod-api-1 for PendingModelChangesWarning.</t>
        </is>
      </c>
      <c r="G3" s="4" t="inlineStr">
        <is>
          <t>Not run</t>
        </is>
      </c>
      <c r="H3" s="4" t="inlineStr"/>
      <c r="I3" s="5" t="inlineStr"/>
      <c r="J3" s="4" t="inlineStr"/>
    </row>
    <row r="4">
      <c r="A4" s="2" t="inlineStr">
        <is>
          <t>1. Environment, Build and Deployment</t>
        </is>
      </c>
      <c r="B4" s="3" t="inlineStr">
        <is>
          <t>ENV-03</t>
        </is>
      </c>
      <c r="C4" s="2" t="inlineStr">
        <is>
          <t>Database migrations are applied and current</t>
        </is>
      </c>
      <c r="D4" s="2" t="inlineStr">
        <is>
          <t>Restart the API and watch its log for migration output: docker logs desk-portal-prod-api-1 --since 5m | grep -i migrat</t>
        </is>
      </c>
      <c r="E4" s="2" t="inlineStr">
        <is>
          <t>Migrations apply cleanly, or report nothing pending. No PendingModelChangesWarning.</t>
        </is>
      </c>
      <c r="F4" s="2" t="inlineStr">
        <is>
          <t>API log. Local mode uses SQLite EnsureCreated and hides schema drift, so this must be checked against Postgres, never only locally.</t>
        </is>
      </c>
      <c r="G4" s="4" t="inlineStr">
        <is>
          <t>Not run</t>
        </is>
      </c>
      <c r="H4" s="4" t="inlineStr"/>
      <c r="I4" s="5" t="inlineStr"/>
      <c r="J4" s="4" t="inlineStr"/>
    </row>
    <row r="5">
      <c r="A5" s="2" t="inlineStr">
        <is>
          <t>1. Environment, Build and Deployment</t>
        </is>
      </c>
      <c r="B5" s="3" t="inlineStr">
        <is>
          <t>ENV-04</t>
        </is>
      </c>
      <c r="C5" s="2" t="inlineStr">
        <is>
          <t>Stale browser tab is detected</t>
        </is>
      </c>
      <c r="D5" s="2" t="inlineStr">
        <is>
          <t>Open the dashboard, leave the tab open, deploy a new build, then focus the tab and wait up to 3 minutes.</t>
        </is>
      </c>
      <c r="E5" s="2" t="inlineStr">
        <is>
          <t>A Reload toast appears (UpdateWatchdog polls /version against BUILD_ID).</t>
        </is>
      </c>
      <c r="F5" s="2" t="inlineStr">
        <is>
          <t>Browser UI. If a tester reports a bug that 'came back', check for a stale bundle first - the tell is old UI details still on screen.</t>
        </is>
      </c>
      <c r="G5" s="4" t="inlineStr">
        <is>
          <t>Not run</t>
        </is>
      </c>
      <c r="H5" s="4" t="inlineStr"/>
      <c r="I5" s="5" t="inlineStr"/>
      <c r="J5" s="4" t="inlineStr"/>
    </row>
    <row r="6">
      <c r="A6" s="2" t="inlineStr">
        <is>
          <t>1. Environment, Build and Deployment</t>
        </is>
      </c>
      <c r="B6" s="3" t="inlineStr">
        <is>
          <t>ENV-05</t>
        </is>
      </c>
      <c r="C6" s="2" t="inlineStr">
        <is>
          <t>TLS and vhost serve the right site</t>
        </is>
      </c>
      <c r="D6" s="2" t="inlineStr">
        <is>
          <t>curl -sI https://piomanage.com | head -3</t>
        </is>
      </c>
      <c r="E6" s="2" t="inlineStr">
        <is>
          <t>HTTP 200, valid certificate, no redirect to another site co-hosted on the same VPS.</t>
        </is>
      </c>
      <c r="F6" s="2" t="inlineStr">
        <is>
          <t>curl. This VPS also serves pioassets.com and piodeploy.com.</t>
        </is>
      </c>
      <c r="G6" s="4" t="inlineStr">
        <is>
          <t>Not run</t>
        </is>
      </c>
      <c r="H6" s="4" t="inlineStr"/>
      <c r="I6" s="5" t="inlineStr"/>
      <c r="J6" s="4" t="inlineStr"/>
    </row>
    <row r="7">
      <c r="A7" s="2" t="inlineStr">
        <is>
          <t>2. Authentication and Session</t>
        </is>
      </c>
      <c r="B7" s="3" t="inlineStr">
        <is>
          <t>AUTH-01</t>
        </is>
      </c>
      <c r="C7" s="2" t="inlineStr">
        <is>
          <t>Staff login round trip</t>
        </is>
      </c>
      <c r="D7" s="2" t="inlineStr">
        <is>
          <t>Open https://piomanage.com, click Sign in, authenticate as a staff user in the desk realm.</t>
        </is>
      </c>
      <c r="E7" s="2" t="inlineStr">
        <is>
          <t>Redirected back to /dashboard, header shows the user menu with the right name.</t>
        </is>
      </c>
      <c r="F7" s="2" t="inlineStr">
        <is>
          <t>Browser. Check DevTools &gt; Application &gt; Cookies: the session cookie is httpOnly and Secure, and there is NO token in localStorage.</t>
        </is>
      </c>
      <c r="G7" s="4" t="inlineStr">
        <is>
          <t>Not run</t>
        </is>
      </c>
      <c r="H7" s="4" t="inlineStr"/>
      <c r="I7" s="5" t="inlineStr"/>
      <c r="J7" s="4" t="inlineStr"/>
    </row>
    <row r="8">
      <c r="A8" s="2" t="inlineStr">
        <is>
          <t>2. Authentication and Session</t>
        </is>
      </c>
      <c r="B8" s="3" t="inlineStr">
        <is>
          <t>AUTH-02</t>
        </is>
      </c>
      <c r="C8" s="2" t="inlineStr">
        <is>
          <t>First login forces a password change</t>
        </is>
      </c>
      <c r="D8" s="2" t="inlineStr">
        <is>
          <t>Create a Keycloak user with a temporary password, then log in as them.</t>
        </is>
      </c>
      <c r="E8" s="2" t="inlineStr">
        <is>
          <t>Keycloak forces a password update before the app loads.</t>
        </is>
      </c>
      <c r="F8" s="2" t="inlineStr">
        <is>
          <t>Keycloak admin console + browser.</t>
        </is>
      </c>
      <c r="G8" s="4" t="inlineStr">
        <is>
          <t>Not run</t>
        </is>
      </c>
      <c r="H8" s="4" t="inlineStr"/>
      <c r="I8" s="5" t="inlineStr"/>
      <c r="J8" s="4" t="inlineStr"/>
    </row>
    <row r="9">
      <c r="A9" s="2" t="inlineStr">
        <is>
          <t>2. Authentication and Session</t>
        </is>
      </c>
      <c r="B9" s="3" t="inlineStr">
        <is>
          <t>AUTH-03</t>
        </is>
      </c>
      <c r="C9" s="2" t="inlineStr">
        <is>
          <t>Unauthenticated access is blocked</t>
        </is>
      </c>
      <c r="D9" s="2" t="inlineStr">
        <is>
          <t>In a private window open https://piomanage.com/dashboard/tickets directly.</t>
        </is>
      </c>
      <c r="E9" s="2" t="inlineStr">
        <is>
          <t>Redirected to login, not shown any ticket data.</t>
        </is>
      </c>
      <c r="F9" s="2" t="inlineStr">
        <is>
          <t>Browser. Repeat for /control-panel and /dashboard/users.</t>
        </is>
      </c>
      <c r="G9" s="4" t="inlineStr">
        <is>
          <t>Not run</t>
        </is>
      </c>
      <c r="H9" s="4" t="inlineStr"/>
      <c r="I9" s="5" t="inlineStr"/>
      <c r="J9" s="4" t="inlineStr"/>
    </row>
    <row r="10">
      <c r="A10" s="2" t="inlineStr">
        <is>
          <t>2. Authentication and Session</t>
        </is>
      </c>
      <c r="B10" s="3" t="inlineStr">
        <is>
          <t>AUTH-04</t>
        </is>
      </c>
      <c r="C10" s="2" t="inlineStr">
        <is>
          <t>Expired access token refreshes silently</t>
        </is>
      </c>
      <c r="D10" s="2" t="inlineStr">
        <is>
          <t>Stay logged in past the access-token lifetime, then click through to another page.</t>
        </is>
      </c>
      <c r="E10" s="2" t="inlineStr">
        <is>
          <t>The BFF proxy refreshes on 401 and the page loads without bouncing to login.</t>
        </is>
      </c>
      <c r="F10" s="2" t="inlineStr">
        <is>
          <t>Browser network tab: a 401 followed by a successful retry.</t>
        </is>
      </c>
      <c r="G10" s="4" t="inlineStr">
        <is>
          <t>Not run</t>
        </is>
      </c>
      <c r="H10" s="4" t="inlineStr"/>
      <c r="I10" s="5" t="inlineStr"/>
      <c r="J10" s="4" t="inlineStr"/>
    </row>
    <row r="11">
      <c r="A11" s="2" t="inlineStr">
        <is>
          <t>2. Authentication and Session</t>
        </is>
      </c>
      <c r="B11" s="3" t="inlineStr">
        <is>
          <t>AUTH-05</t>
        </is>
      </c>
      <c r="C11" s="2" t="inlineStr">
        <is>
          <t>Logout clears the session</t>
        </is>
      </c>
      <c r="D11" s="2" t="inlineStr">
        <is>
          <t>Click Sign out, then press Back and try to reach /dashboard.</t>
        </is>
      </c>
      <c r="E11" s="2" t="inlineStr">
        <is>
          <t>Session cookies cleared; the protected page redirects to login.</t>
        </is>
      </c>
      <c r="F11" s="2" t="inlineStr">
        <is>
          <t>Browser.</t>
        </is>
      </c>
      <c r="G11" s="4" t="inlineStr">
        <is>
          <t>Not run</t>
        </is>
      </c>
      <c r="H11" s="4" t="inlineStr"/>
      <c r="I11" s="5" t="inlineStr"/>
      <c r="J11" s="4" t="inlineStr"/>
    </row>
    <row r="12">
      <c r="A12" s="2" t="inlineStr">
        <is>
          <t>2. Authentication and Session</t>
        </is>
      </c>
      <c r="B12" s="3" t="inlineStr">
        <is>
          <t>AUTH-06</t>
        </is>
      </c>
      <c r="C12" s="2" t="inlineStr">
        <is>
          <t>A user with no portal record cannot act</t>
        </is>
      </c>
      <c r="D12" s="2" t="inlineStr">
        <is>
          <t>Log in as a Keycloak user with no matching app_users / client_users row.</t>
        </is>
      </c>
      <c r="E12" s="2" t="inlineStr">
        <is>
          <t>No tenant scope is resolved: the user sees no data rather than another tenant's data.</t>
        </is>
      </c>
      <c r="F12" s="2" t="inlineStr">
        <is>
          <t>Browser + SQL: select * from app_users where "IdpSubject"='&lt;keycloak sub&gt;'.</t>
        </is>
      </c>
      <c r="G12" s="4" t="inlineStr">
        <is>
          <t>Not run</t>
        </is>
      </c>
      <c r="H12" s="4" t="inlineStr"/>
      <c r="I12" s="5" t="inlineStr"/>
      <c r="J12" s="4" t="inlineStr"/>
    </row>
    <row r="13">
      <c r="A13" s="2" t="inlineStr">
        <is>
          <t>2. Authentication and Session</t>
        </is>
      </c>
      <c r="B13" s="3" t="inlineStr">
        <is>
          <t>AUTH-07</t>
        </is>
      </c>
      <c r="C13" s="2" t="inlineStr">
        <is>
          <t>Client login is separate from staff login</t>
        </is>
      </c>
      <c r="D13" s="2" t="inlineStr">
        <is>
          <t>Log in as a pure client-portal user (client_users row, no app_users row).</t>
        </is>
      </c>
      <c r="E13" s="2" t="inlineStr">
        <is>
          <t>Lands in the client experience with exactly tickets.create and tickets.note.public.add; no staff tooling appears on the ticket page.</t>
        </is>
      </c>
      <c r="F13" s="2" t="inlineStr">
        <is>
          <t>Browser. A user holding BOTH identities must resolve as staff - test that case too.</t>
        </is>
      </c>
      <c r="G13" s="4" t="inlineStr">
        <is>
          <t>Not run</t>
        </is>
      </c>
      <c r="H13" s="4" t="inlineStr"/>
      <c r="I13" s="5" t="inlineStr"/>
      <c r="J13" s="4" t="inlineStr"/>
    </row>
    <row r="14">
      <c r="A14" s="2" t="inlineStr">
        <is>
          <t>3. Tenant Isolation and Security</t>
        </is>
      </c>
      <c r="B14" s="3" t="inlineStr">
        <is>
          <t>SEC-01</t>
        </is>
      </c>
      <c r="C14" s="2" t="inlineStr">
        <is>
          <t>Cross-tenant ticket read is refused</t>
        </is>
      </c>
      <c r="D14" s="2" t="inlineStr">
        <is>
          <t>As an admin of org A, note a ticket GUID belonging to org B (from SQL). Call GET /api/tickets/&lt;org-B-ticket-id&gt; with org A's session.</t>
        </is>
      </c>
      <c r="E14" s="2" t="inlineStr">
        <is>
          <t>404 or 403. Never org B's ticket body.</t>
        </is>
      </c>
      <c r="F14" s="2" t="inlineStr">
        <is>
          <t>API + SQL. Repeat for notes, attachments, time entries, users and audit rows.</t>
        </is>
      </c>
      <c r="G14" s="4" t="inlineStr">
        <is>
          <t>Not run</t>
        </is>
      </c>
      <c r="H14" s="4" t="inlineStr"/>
      <c r="I14" s="5" t="inlineStr"/>
      <c r="J14" s="4" t="inlineStr"/>
    </row>
    <row r="15">
      <c r="A15" s="2" t="inlineStr">
        <is>
          <t>3. Tenant Isolation and Security</t>
        </is>
      </c>
      <c r="B15" s="3" t="inlineStr">
        <is>
          <t>SEC-02</t>
        </is>
      </c>
      <c r="C15" s="2" t="inlineStr">
        <is>
          <t>Cross-tenant write is refused</t>
        </is>
      </c>
      <c r="D15" s="2" t="inlineStr">
        <is>
          <t>As org A, POST a comment to an org B ticket id.</t>
        </is>
      </c>
      <c r="E15" s="2" t="inlineStr">
        <is>
          <t>Rejected. No row is created.</t>
        </is>
      </c>
      <c r="F15" s="2" t="inlineStr">
        <is>
          <t>API + SQL: confirm no ticket_notes row appeared for that ticket.</t>
        </is>
      </c>
      <c r="G15" s="4" t="inlineStr">
        <is>
          <t>Not run</t>
        </is>
      </c>
      <c r="H15" s="4" t="inlineStr"/>
      <c r="I15" s="5" t="inlineStr"/>
      <c r="J15" s="4" t="inlineStr"/>
    </row>
    <row r="16">
      <c r="A16" s="2" t="inlineStr">
        <is>
          <t>3. Tenant Isolation and Security</t>
        </is>
      </c>
      <c r="B16" s="3" t="inlineStr">
        <is>
          <t>SEC-03</t>
        </is>
      </c>
      <c r="C16" s="2" t="inlineStr">
        <is>
          <t>Audit and user tables are scoped</t>
        </is>
      </c>
      <c r="D16" s="2" t="inlineStr">
        <is>
          <t>As org A call GET /api/admin/audit and GET /api/admin/users.</t>
        </is>
      </c>
      <c r="E16" s="2" t="inlineStr">
        <is>
          <t>Only org A rows. AuditLog and AppUser are NOT covered by the global query filter, so they are scoped in service code - they need their own explicit test.</t>
        </is>
      </c>
      <c r="F16" s="2" t="inlineStr">
        <is>
          <t>API + SQL count comparison.</t>
        </is>
      </c>
      <c r="G16" s="4" t="inlineStr">
        <is>
          <t>Not run</t>
        </is>
      </c>
      <c r="H16" s="4" t="inlineStr"/>
      <c r="I16" s="5" t="inlineStr"/>
      <c r="J16" s="4" t="inlineStr"/>
    </row>
    <row r="17">
      <c r="A17" s="2" t="inlineStr">
        <is>
          <t>3. Tenant Isolation and Security</t>
        </is>
      </c>
      <c r="B17" s="3" t="inlineStr">
        <is>
          <t>SEC-04</t>
        </is>
      </c>
      <c r="C17" s="2" t="inlineStr">
        <is>
          <t>Client user sees only their own company</t>
        </is>
      </c>
      <c r="D17" s="2" t="inlineStr">
        <is>
          <t>Log in as a client user of company X and list tickets.</t>
        </is>
      </c>
      <c r="E17" s="2" t="inlineStr">
        <is>
          <t>Only company X tickets. Requester-level users see only their own.</t>
        </is>
      </c>
      <c r="F17" s="2" t="inlineStr">
        <is>
          <t>Browser + SQL: compare against select count(*) from tickets where "ClientCompanyId"=...</t>
        </is>
      </c>
      <c r="G17" s="4" t="inlineStr">
        <is>
          <t>Not run</t>
        </is>
      </c>
      <c r="H17" s="4" t="inlineStr"/>
      <c r="I17" s="5" t="inlineStr"/>
      <c r="J17" s="4" t="inlineStr"/>
    </row>
    <row r="18">
      <c r="A18" s="2" t="inlineStr">
        <is>
          <t>3. Tenant Isolation and Security</t>
        </is>
      </c>
      <c r="B18" s="3" t="inlineStr">
        <is>
          <t>SEC-05</t>
        </is>
      </c>
      <c r="C18" s="2" t="inlineStr">
        <is>
          <t>Internal notes never reach a client</t>
        </is>
      </c>
      <c r="D18" s="2" t="inlineStr">
        <is>
          <t>Add an internal note to a ticket as staff, then open the same ticket as a client user.</t>
        </is>
      </c>
      <c r="E18" s="2" t="inlineStr">
        <is>
          <t>The internal note is absent from the API response body, not merely hidden in the UI.</t>
        </is>
      </c>
      <c r="F18" s="2" t="inlineStr">
        <is>
          <t>Inspect the raw JSON from GET /api/tickets/{id} in the client session. This is the single most important confidentiality test in the product.</t>
        </is>
      </c>
      <c r="G18" s="4" t="inlineStr">
        <is>
          <t>Not run</t>
        </is>
      </c>
      <c r="H18" s="4" t="inlineStr"/>
      <c r="I18" s="5" t="inlineStr"/>
      <c r="J18" s="4" t="inlineStr"/>
    </row>
    <row r="19">
      <c r="A19" s="2" t="inlineStr">
        <is>
          <t>3. Tenant Isolation and Security</t>
        </is>
      </c>
      <c r="B19" s="3" t="inlineStr">
        <is>
          <t>SEC-06</t>
        </is>
      </c>
      <c r="C19" s="2" t="inlineStr">
        <is>
          <t>Time and billing data are stripped for clients</t>
        </is>
      </c>
      <c r="D19" s="2" t="inlineStr">
        <is>
          <t>Reply with time logged as staff, then view the thread as a client.</t>
        </is>
      </c>
      <c r="E19" s="2" t="inlineStr">
        <is>
          <t>No duration, billable flag or time entry appears in the client payload.</t>
        </is>
      </c>
      <c r="F19" s="2" t="inlineStr">
        <is>
          <t>Raw JSON inspection.</t>
        </is>
      </c>
      <c r="G19" s="4" t="inlineStr">
        <is>
          <t>Not run</t>
        </is>
      </c>
      <c r="H19" s="4" t="inlineStr"/>
      <c r="I19" s="5" t="inlineStr"/>
      <c r="J19" s="4" t="inlineStr"/>
    </row>
    <row r="20">
      <c r="A20" s="2" t="inlineStr">
        <is>
          <t>3. Tenant Isolation and Security</t>
        </is>
      </c>
      <c r="B20" s="3" t="inlineStr">
        <is>
          <t>SEC-07</t>
        </is>
      </c>
      <c r="C20" s="2" t="inlineStr">
        <is>
          <t>Credentials are never returned</t>
        </is>
      </c>
      <c r="D20" s="2" t="inlineStr">
        <is>
          <t>GET /api/admin/connections and the single-connection endpoint.</t>
        </is>
      </c>
      <c r="E20" s="2" t="inlineStr">
        <is>
          <t>No API key, secret or password field in any response. Only 'has a stored credential' style flags and names.</t>
        </is>
      </c>
      <c r="F20" s="2" t="inlineStr">
        <is>
          <t>Raw JSON. Also grep the API log for the secret value to prove it is not logged.</t>
        </is>
      </c>
      <c r="G20" s="4" t="inlineStr">
        <is>
          <t>Not run</t>
        </is>
      </c>
      <c r="H20" s="4" t="inlineStr"/>
      <c r="I20" s="5" t="inlineStr"/>
      <c r="J20" s="4" t="inlineStr"/>
    </row>
    <row r="21">
      <c r="A21" s="2" t="inlineStr">
        <is>
          <t>3. Tenant Isolation and Security</t>
        </is>
      </c>
      <c r="B21" s="3" t="inlineStr">
        <is>
          <t>SEC-08</t>
        </is>
      </c>
      <c r="C21" s="2" t="inlineStr">
        <is>
          <t>SSRF egress guard</t>
        </is>
      </c>
      <c r="D21" s="2" t="inlineStr">
        <is>
          <t>With Connectors:BlockPrivateEgress enabled, configure a connection endpoint pointing at http://169.254.169.254 or a private IP and run Test connection.</t>
        </is>
      </c>
      <c r="E21" s="2" t="inlineStr">
        <is>
          <t>Blocked with a clear error, no outbound request.</t>
        </is>
      </c>
      <c r="F21" s="2" t="inlineStr">
        <is>
          <t>API response + log.</t>
        </is>
      </c>
      <c r="G21" s="4" t="inlineStr">
        <is>
          <t>Not run</t>
        </is>
      </c>
      <c r="H21" s="4" t="inlineStr"/>
      <c r="I21" s="5" t="inlineStr"/>
      <c r="J21" s="4" t="inlineStr"/>
    </row>
    <row r="22">
      <c r="A22" s="2" t="inlineStr">
        <is>
          <t>3. Tenant Isolation and Security</t>
        </is>
      </c>
      <c r="B22" s="3" t="inlineStr">
        <is>
          <t>SEC-09</t>
        </is>
      </c>
      <c r="C22" s="2" t="inlineStr">
        <is>
          <t>Provider-supplied next-page URL cannot redirect the sync</t>
        </is>
      </c>
      <c r="D22" s="2" t="inlineStr">
        <is>
          <t>Unit-level: the Autotask connector refuses a nextPageUrl on a different host.</t>
        </is>
      </c>
      <c r="E22" s="2" t="inlineStr">
        <is>
          <t>ConnectorException naming the host. Covered by A_next_page_url_on_another_host_is_refused.</t>
        </is>
      </c>
      <c r="F22" s="2" t="inlineStr">
        <is>
          <t>dotnet test --filter A_next_page_url_on_another_host. This matters because the follow-up request carries the PSA credentials.</t>
        </is>
      </c>
      <c r="G22" s="4" t="inlineStr">
        <is>
          <t>Not run</t>
        </is>
      </c>
      <c r="H22" s="4" t="inlineStr"/>
      <c r="I22" s="5" t="inlineStr"/>
      <c r="J22" s="4" t="inlineStr"/>
    </row>
    <row r="23">
      <c r="A23" s="2" t="inlineStr">
        <is>
          <t>3. Tenant Isolation and Security</t>
        </is>
      </c>
      <c r="B23" s="3" t="inlineStr">
        <is>
          <t>SEC-10</t>
        </is>
      </c>
      <c r="C23" s="2" t="inlineStr">
        <is>
          <t>Webhook signature validation</t>
        </is>
      </c>
      <c r="D23" s="2" t="inlineStr">
        <is>
          <t>POST to /api/webhooks/{connectionId} with a bad signature, then with a stale timestamp.</t>
        </is>
      </c>
      <c r="E23" s="2" t="inlineStr">
        <is>
          <t>Both rejected. A correctly signed, fresh payload is accepted exactly once (replay is de-duplicated).</t>
        </is>
      </c>
      <c r="F23" s="2" t="inlineStr">
        <is>
          <t>API. Send the same signed payload twice and confirm the second is a no-op.</t>
        </is>
      </c>
      <c r="G23" s="4" t="inlineStr">
        <is>
          <t>Not run</t>
        </is>
      </c>
      <c r="H23" s="4" t="inlineStr"/>
      <c r="I23" s="5" t="inlineStr"/>
      <c r="J23" s="4" t="inlineStr"/>
    </row>
    <row r="24">
      <c r="A24" s="2" t="inlineStr">
        <is>
          <t>3. Tenant Isolation and Security</t>
        </is>
      </c>
      <c r="B24" s="3" t="inlineStr">
        <is>
          <t>SEC-11</t>
        </is>
      </c>
      <c r="C24" s="2" t="inlineStr">
        <is>
          <t>Attachment malware quarantine</t>
        </is>
      </c>
      <c r="D24" s="2" t="inlineStr">
        <is>
          <t>Upload the EICAR test string as a file to a ticket.</t>
        </is>
      </c>
      <c r="E24" s="2" t="inlineStr">
        <is>
          <t>Stored as quarantined, flagged in the UI, and NOT downloadable.</t>
        </is>
      </c>
      <c r="F24" s="2" t="inlineStr">
        <is>
          <t>Browser + SQL: select "ScanStatus" from attachments order by "CreatedAt" desc limit 1.</t>
        </is>
      </c>
      <c r="G24" s="4" t="inlineStr">
        <is>
          <t>Not run</t>
        </is>
      </c>
      <c r="H24" s="4" t="inlineStr"/>
      <c r="I24" s="5" t="inlineStr"/>
      <c r="J24" s="4" t="inlineStr"/>
    </row>
    <row r="25">
      <c r="A25" s="2" t="inlineStr">
        <is>
          <t>3. Tenant Isolation and Security</t>
        </is>
      </c>
      <c r="B25" s="3" t="inlineStr">
        <is>
          <t>SEC-12</t>
        </is>
      </c>
      <c r="C25" s="2" t="inlineStr">
        <is>
          <t>Rate limiting on public forms</t>
        </is>
      </c>
      <c r="D25" s="2" t="inlineStr">
        <is>
          <t>POST /api/public/enquiries/contact six times within ten minutes from one IP.</t>
        </is>
      </c>
      <c r="E25" s="2" t="inlineStr">
        <is>
          <t>The sixth is rate limited (policy allows 5 per 10 minutes per IP).</t>
        </is>
      </c>
      <c r="F25" s="2" t="inlineStr">
        <is>
          <t>curl loop, observe 429.</t>
        </is>
      </c>
      <c r="G25" s="4" t="inlineStr">
        <is>
          <t>Not run</t>
        </is>
      </c>
      <c r="H25" s="4" t="inlineStr"/>
      <c r="I25" s="5" t="inlineStr"/>
      <c r="J25" s="4" t="inlineStr"/>
    </row>
    <row r="26">
      <c r="A26" s="2" t="inlineStr">
        <is>
          <t>4. Roles and Permissions</t>
        </is>
      </c>
      <c r="B26" s="3" t="inlineStr">
        <is>
          <t>ROLE-01</t>
        </is>
      </c>
      <c r="C26" s="2" t="inlineStr">
        <is>
          <t>Built-in roles exist and are read-only</t>
        </is>
      </c>
      <c r="D26" s="2" t="inlineStr">
        <is>
          <t>Open /dashboard/roles as an MSP administrator. Try to edit a built-in role.</t>
        </is>
      </c>
      <c r="E26" s="2" t="inlineStr">
        <is>
          <t>PlatformSuperAdministrator, MspAdministrator, Manager, Technician, ClientAdministrator, ClientUser and Auditor are listed and cannot be edited.</t>
        </is>
      </c>
      <c r="F26" s="2" t="inlineStr">
        <is>
          <t>Browser. Built-ins are cross-tenant rows - editing one would affect every tenant.</t>
        </is>
      </c>
      <c r="G26" s="4" t="inlineStr">
        <is>
          <t>Not run</t>
        </is>
      </c>
      <c r="H26" s="4" t="inlineStr"/>
      <c r="I26" s="5" t="inlineStr"/>
      <c r="J26" s="4" t="inlineStr"/>
    </row>
    <row r="27">
      <c r="A27" s="2" t="inlineStr">
        <is>
          <t>4. Roles and Permissions</t>
        </is>
      </c>
      <c r="B27" s="3" t="inlineStr">
        <is>
          <t>ROLE-02</t>
        </is>
      </c>
      <c r="C27" s="2" t="inlineStr">
        <is>
          <t>MSP administrator permission set</t>
        </is>
      </c>
      <c r="D27" s="2" t="inlineStr">
        <is>
          <t>GET /api/admin/users/{id}/permissions for an MspAdministrator.</t>
        </is>
      </c>
      <c r="E27" s="2" t="inlineStr">
        <is>
          <t>Includes org.manage, connections.manage, mappings.manage, users.manage, roles.manage, tickets.view.all, audit.view, enquiries.view and productivity.team.view.</t>
        </is>
      </c>
      <c r="F27" s="2" t="inlineStr">
        <is>
          <t>API response against packages/domain/Authorization/Permissions.cs ForRole.</t>
        </is>
      </c>
      <c r="G27" s="4" t="inlineStr">
        <is>
          <t>Not run</t>
        </is>
      </c>
      <c r="H27" s="4" t="inlineStr"/>
      <c r="I27" s="5" t="inlineStr"/>
      <c r="J27" s="4" t="inlineStr"/>
    </row>
    <row r="28">
      <c r="A28" s="2" t="inlineStr">
        <is>
          <t>4. Roles and Permissions</t>
        </is>
      </c>
      <c r="B28" s="3" t="inlineStr">
        <is>
          <t>ROLE-03</t>
        </is>
      </c>
      <c r="C28" s="2" t="inlineStr">
        <is>
          <t>Manager cannot manage users or connections</t>
        </is>
      </c>
      <c r="D28" s="2" t="inlineStr">
        <is>
          <t>Log in as a Manager. Attempt /dashboard/users and /dashboard/connections edit.</t>
        </is>
      </c>
      <c r="E28" s="2" t="inlineStr">
        <is>
          <t>Manager has connections.view and mappings.view but NOT the manage variants, and no users.manage. Read allowed, write refused.</t>
        </is>
      </c>
      <c r="F28" s="2" t="inlineStr">
        <is>
          <t>Browser + API 403.</t>
        </is>
      </c>
      <c r="G28" s="4" t="inlineStr">
        <is>
          <t>Not run</t>
        </is>
      </c>
      <c r="H28" s="4" t="inlineStr"/>
      <c r="I28" s="5" t="inlineStr"/>
      <c r="J28" s="4" t="inlineStr"/>
    </row>
    <row r="29">
      <c r="A29" s="2" t="inlineStr">
        <is>
          <t>4. Roles and Permissions</t>
        </is>
      </c>
      <c r="B29" s="3" t="inlineStr">
        <is>
          <t>ROLE-04</t>
        </is>
      </c>
      <c r="C29" s="2" t="inlineStr">
        <is>
          <t>Technician sees assigned tickets only</t>
        </is>
      </c>
      <c r="D29" s="2" t="inlineStr">
        <is>
          <t>Log in as a Standard Technician and open the ticket list.</t>
        </is>
      </c>
      <c r="E29" s="2" t="inlineStr">
        <is>
          <t>Only tickets assigned to them (tickets.view.assigned at Assigned scope).</t>
        </is>
      </c>
      <c r="F29" s="2" t="inlineStr">
        <is>
          <t>Browser + SQL: compare with select count(*) from tickets where "AssignedTechnicianExternalId"='&lt;their external id&gt;'.</t>
        </is>
      </c>
      <c r="G29" s="4" t="inlineStr">
        <is>
          <t>Not run</t>
        </is>
      </c>
      <c r="H29" s="4" t="inlineStr"/>
      <c r="I29" s="5" t="inlineStr"/>
      <c r="J29" s="4" t="inlineStr"/>
    </row>
    <row r="30">
      <c r="A30" s="2" t="inlineStr">
        <is>
          <t>4. Roles and Permissions</t>
        </is>
      </c>
      <c r="B30" s="3" t="inlineStr">
        <is>
          <t>ROLE-05</t>
        </is>
      </c>
      <c r="C30" s="2" t="inlineStr">
        <is>
          <t>Technician can log time and add public notes on any ticket</t>
        </is>
      </c>
      <c r="D30" s="2" t="inlineStr">
        <is>
          <t>As a technician, open a ticket they can see and log time / add a note.</t>
        </is>
      </c>
      <c r="E30" s="2" t="inlineStr">
        <is>
          <t>Allowed - tickets.time.log and tickets.note.public.add are granted at All scope by design.</t>
        </is>
      </c>
      <c r="F30" s="2" t="inlineStr">
        <is>
          <t>Browser. This is deliberate, not a bug: confirm it still matches your policy.</t>
        </is>
      </c>
      <c r="G30" s="4" t="inlineStr">
        <is>
          <t>Not run</t>
        </is>
      </c>
      <c r="H30" s="4" t="inlineStr"/>
      <c r="I30" s="5" t="inlineStr"/>
      <c r="J30" s="4" t="inlineStr"/>
    </row>
    <row r="31">
      <c r="A31" s="2" t="inlineStr">
        <is>
          <t>4. Roles and Permissions</t>
        </is>
      </c>
      <c r="B31" s="3" t="inlineStr">
        <is>
          <t>ROLE-06</t>
        </is>
      </c>
      <c r="C31" s="2" t="inlineStr">
        <is>
          <t>Auditor is read-only</t>
        </is>
      </c>
      <c r="D31" s="2" t="inlineStr">
        <is>
          <t>Log in as an Auditor and attempt any write: change a status, save a mapping, edit a user.</t>
        </is>
      </c>
      <c r="E31" s="2" t="inlineStr">
        <is>
          <t>All writes refused; audit and security pages readable.</t>
        </is>
      </c>
      <c r="F31" s="2" t="inlineStr">
        <is>
          <t>Browser + API.</t>
        </is>
      </c>
      <c r="G31" s="4" t="inlineStr">
        <is>
          <t>Not run</t>
        </is>
      </c>
      <c r="H31" s="4" t="inlineStr"/>
      <c r="I31" s="5" t="inlineStr"/>
      <c r="J31" s="4" t="inlineStr"/>
    </row>
    <row r="32">
      <c r="A32" s="2" t="inlineStr">
        <is>
          <t>4. Roles and Permissions</t>
        </is>
      </c>
      <c r="B32" s="3" t="inlineStr">
        <is>
          <t>ROLE-07</t>
        </is>
      </c>
      <c r="C32" s="2" t="inlineStr">
        <is>
          <t>Custom role creation</t>
        </is>
      </c>
      <c r="D32" s="2" t="inlineStr">
        <is>
          <t>Create a tenant role 'Dispatcher QA' from the catalogue, grant tickets.view.all and tickets.update only, assign it to a test user.</t>
        </is>
      </c>
      <c r="E32" s="2" t="inlineStr">
        <is>
          <t>The user gains exactly those two capabilities and nothing else.</t>
        </is>
      </c>
      <c r="F32" s="2" t="inlineStr">
        <is>
          <t>/dashboard/roles then verify with /dashboard/permissions.</t>
        </is>
      </c>
      <c r="G32" s="4" t="inlineStr">
        <is>
          <t>Not run</t>
        </is>
      </c>
      <c r="H32" s="4" t="inlineStr"/>
      <c r="I32" s="5" t="inlineStr"/>
      <c r="J32" s="4" t="inlineStr"/>
    </row>
    <row r="33">
      <c r="A33" s="2" t="inlineStr">
        <is>
          <t>4. Roles and Permissions</t>
        </is>
      </c>
      <c r="B33" s="3" t="inlineStr">
        <is>
          <t>ROLE-08</t>
        </is>
      </c>
      <c r="C33" s="2" t="inlineStr">
        <is>
          <t>Duplicate-from-built-in</t>
        </is>
      </c>
      <c r="D33" s="2" t="inlineStr">
        <is>
          <t>Use Duplicate on a built-in role, then edit the copy.</t>
        </is>
      </c>
      <c r="E33" s="2" t="inlineStr">
        <is>
          <t>The copy is tenant-owned and editable; the built-in is unchanged.</t>
        </is>
      </c>
      <c r="F33" s="2" t="inlineStr">
        <is>
          <t>Browser + SQL: the new row has a non-null MspOrganizationId.</t>
        </is>
      </c>
      <c r="G33" s="4" t="inlineStr">
        <is>
          <t>Not run</t>
        </is>
      </c>
      <c r="H33" s="4" t="inlineStr"/>
      <c r="I33" s="5" t="inlineStr"/>
      <c r="J33" s="4" t="inlineStr"/>
    </row>
    <row r="34">
      <c r="A34" s="2" t="inlineStr">
        <is>
          <t>4. Roles and Permissions</t>
        </is>
      </c>
      <c r="B34" s="3" t="inlineStr">
        <is>
          <t>ROLE-09</t>
        </is>
      </c>
      <c r="C34" s="2" t="inlineStr">
        <is>
          <t>Privilege escalation is blocked</t>
        </is>
      </c>
      <c r="D34" s="2" t="inlineStr">
        <is>
          <t>As an MSP administrator, attempt to assign PlatformSuperAdministrator to another user, including by POSTing the role id directly to /api/admin/users/{id}/roles/{roleId}.</t>
        </is>
      </c>
      <c r="E34" s="2" t="inlineStr">
        <is>
          <t>Refused. Only the 4 staff built-ins plus tenant customs are assignable.</t>
        </is>
      </c>
      <c r="F34" s="2" t="inlineStr">
        <is>
          <t>API. This is a real escalation hole that was closed - it must stay closed.</t>
        </is>
      </c>
      <c r="G34" s="4" t="inlineStr">
        <is>
          <t>Not run</t>
        </is>
      </c>
      <c r="H34" s="4" t="inlineStr"/>
      <c r="I34" s="5" t="inlineStr"/>
      <c r="J34" s="4" t="inlineStr"/>
    </row>
    <row r="35">
      <c r="A35" s="2" t="inlineStr">
        <is>
          <t>4. Roles and Permissions</t>
        </is>
      </c>
      <c r="B35" s="3" t="inlineStr">
        <is>
          <t>ROLE-10</t>
        </is>
      </c>
      <c r="C35" s="2" t="inlineStr">
        <is>
          <t>Cannot edit a role you currently hold</t>
        </is>
      </c>
      <c r="D35" s="2" t="inlineStr">
        <is>
          <t>As a user holding custom role R, try to edit R.</t>
        </is>
      </c>
      <c r="E35" s="2" t="inlineStr">
        <is>
          <t>Forbidden.</t>
        </is>
      </c>
      <c r="F35" s="2" t="inlineStr">
        <is>
          <t>Browser + API 403.</t>
        </is>
      </c>
      <c r="G35" s="4" t="inlineStr">
        <is>
          <t>Not run</t>
        </is>
      </c>
      <c r="H35" s="4" t="inlineStr"/>
      <c r="I35" s="5" t="inlineStr"/>
      <c r="J35" s="4" t="inlineStr"/>
    </row>
    <row r="36">
      <c r="A36" s="2" t="inlineStr">
        <is>
          <t>4. Roles and Permissions</t>
        </is>
      </c>
      <c r="B36" s="3" t="inlineStr">
        <is>
          <t>ROLE-11</t>
        </is>
      </c>
      <c r="C36" s="2" t="inlineStr">
        <is>
          <t>Cannot delete a role still assigned</t>
        </is>
      </c>
      <c r="D36" s="2" t="inlineStr">
        <is>
          <t>Delete a custom role that a user holds.</t>
        </is>
      </c>
      <c r="E36" s="2" t="inlineStr">
        <is>
          <t>Refused with a clear message naming the holders.</t>
        </is>
      </c>
      <c r="F36" s="2" t="inlineStr">
        <is>
          <t>Browser.</t>
        </is>
      </c>
      <c r="G36" s="4" t="inlineStr">
        <is>
          <t>Not run</t>
        </is>
      </c>
      <c r="H36" s="4" t="inlineStr"/>
      <c r="I36" s="5" t="inlineStr"/>
      <c r="J36" s="4" t="inlineStr"/>
    </row>
    <row r="37">
      <c r="A37" s="2" t="inlineStr">
        <is>
          <t>4. Roles and Permissions</t>
        </is>
      </c>
      <c r="B37" s="3" t="inlineStr">
        <is>
          <t>ROLE-12</t>
        </is>
      </c>
      <c r="C37" s="2" t="inlineStr">
        <is>
          <t>Permission templates apply as a diff</t>
        </is>
      </c>
      <c r="D37" s="2" t="inlineStr">
        <is>
          <t>Apply the 'Senior Technician' template to a user via POST /api/admin/users/{id}/apply-template/{templateId}.</t>
        </is>
      </c>
      <c r="E37" s="2" t="inlineStr">
        <is>
          <t>The base role is assigned AND the template's override entries are materialised on top. Templates hold only the difference from their base role.</t>
        </is>
      </c>
      <c r="F37" s="2" t="inlineStr">
        <is>
          <t>GET /api/admin/users/{id}/permissions before and after.</t>
        </is>
      </c>
      <c r="G37" s="4" t="inlineStr">
        <is>
          <t>Not run</t>
        </is>
      </c>
      <c r="H37" s="4" t="inlineStr"/>
      <c r="I37" s="5" t="inlineStr"/>
      <c r="J37" s="4" t="inlineStr"/>
    </row>
    <row r="38">
      <c r="A38" s="2" t="inlineStr">
        <is>
          <t>4. Roles and Permissions</t>
        </is>
      </c>
      <c r="B38" s="3" t="inlineStr">
        <is>
          <t>ROLE-13</t>
        </is>
      </c>
      <c r="C38" s="2" t="inlineStr">
        <is>
          <t>Effective permission explorer is accurate</t>
        </is>
      </c>
      <c r="D38" s="2" t="inlineStr">
        <is>
          <t>Open /dashboard/permissions, pick tickets.view.all, and compare the holder list with a manual check of three users.</t>
        </is>
      </c>
      <c r="E38" s="2" t="inlineStr">
        <is>
          <t>Holders match, and each row names the roles that contributed the grant. An override-deny shows as 'Override - denied (role grant from: X)'.</t>
        </is>
      </c>
      <c r="F38" s="2" t="inlineStr">
        <is>
          <t>Browser. This page is engine-resolved, so it is also a test of the engine itself.</t>
        </is>
      </c>
      <c r="G38" s="4" t="inlineStr">
        <is>
          <t>Not run</t>
        </is>
      </c>
      <c r="H38" s="4" t="inlineStr"/>
      <c r="I38" s="5" t="inlineStr"/>
      <c r="J38" s="4" t="inlineStr"/>
    </row>
    <row r="39">
      <c r="A39" s="2" t="inlineStr">
        <is>
          <t>4. Roles and Permissions</t>
        </is>
      </c>
      <c r="B39" s="3" t="inlineStr">
        <is>
          <t>ROLE-14</t>
        </is>
      </c>
      <c r="C39" s="2" t="inlineStr">
        <is>
          <t>Override deny beats a role grant</t>
        </is>
      </c>
      <c r="D39" s="2" t="inlineStr">
        <is>
          <t>Give a user a role granting tickets.update, then add an explicit deny override.</t>
        </is>
      </c>
      <c r="E39" s="2" t="inlineStr">
        <is>
          <t>The user cannot update tickets, and the explorer explains why.</t>
        </is>
      </c>
      <c r="F39" s="2" t="inlineStr">
        <is>
          <t>Browser + API 403 on a status change.</t>
        </is>
      </c>
      <c r="G39" s="4" t="inlineStr">
        <is>
          <t>Not run</t>
        </is>
      </c>
      <c r="H39" s="4" t="inlineStr"/>
      <c r="I39" s="5" t="inlineStr"/>
      <c r="J39" s="4" t="inlineStr"/>
    </row>
    <row r="40">
      <c r="A40" s="2" t="inlineStr">
        <is>
          <t>5. Staff Users and Technician Registration</t>
        </is>
      </c>
      <c r="B40" s="3" t="inlineStr">
        <is>
          <t>USER-01</t>
        </is>
      </c>
      <c r="C40" s="2" t="inlineStr">
        <is>
          <t>Create a staff user</t>
        </is>
      </c>
      <c r="D40" s="2" t="inlineStr">
        <is>
          <t>/dashboard/users &gt; Add user. Supply name, email, role.</t>
        </is>
      </c>
      <c r="E40" s="2" t="inlineStr">
        <is>
          <t>User is created, appears in the list, and can be opened at /dashboard/users/{id}.</t>
        </is>
      </c>
      <c r="F40" s="2" t="inlineStr">
        <is>
          <t>Browser + SQL: select * from app_users order by "CreatedAt" desc limit 1.</t>
        </is>
      </c>
      <c r="G40" s="4" t="inlineStr">
        <is>
          <t>Not run</t>
        </is>
      </c>
      <c r="H40" s="4" t="inlineStr"/>
      <c r="I40" s="5" t="inlineStr"/>
      <c r="J40" s="4" t="inlineStr"/>
    </row>
    <row r="41">
      <c r="A41" s="2" t="inlineStr">
        <is>
          <t>5. Staff Users and Technician Registration</t>
        </is>
      </c>
      <c r="B41" s="3" t="inlineStr">
        <is>
          <t>USER-02</t>
        </is>
      </c>
      <c r="C41" s="2" t="inlineStr">
        <is>
          <t>Email is required and unique</t>
        </is>
      </c>
      <c r="D41" s="2" t="inlineStr">
        <is>
          <t>Attempt to create a second user with an existing email, and one with no email.</t>
        </is>
      </c>
      <c r="E41" s="2" t="inlineStr">
        <is>
          <t>Both refused with a clear message.</t>
        </is>
      </c>
      <c r="F41" s="2" t="inlineStr">
        <is>
          <t>Browser.</t>
        </is>
      </c>
      <c r="G41" s="4" t="inlineStr">
        <is>
          <t>Not run</t>
        </is>
      </c>
      <c r="H41" s="4" t="inlineStr"/>
      <c r="I41" s="5" t="inlineStr"/>
      <c r="J41" s="4" t="inlineStr"/>
    </row>
    <row r="42">
      <c r="A42" s="2" t="inlineStr">
        <is>
          <t>5. Staff Users and Technician Registration</t>
        </is>
      </c>
      <c r="B42" s="3" t="inlineStr">
        <is>
          <t>USER-03</t>
        </is>
      </c>
      <c r="C42" s="2" t="inlineStr">
        <is>
          <t>Bulk user creation</t>
        </is>
      </c>
      <c r="D42" s="2" t="inlineStr">
        <is>
          <t>POST /api/admin/users/bulk with three users, one of them invalid.</t>
        </is>
      </c>
      <c r="E42" s="2" t="inlineStr">
        <is>
          <t>Valid rows are created, the invalid one is reported. No partial-silent failure.</t>
        </is>
      </c>
      <c r="F42" s="2" t="inlineStr">
        <is>
          <t>API response + SQL count.</t>
        </is>
      </c>
      <c r="G42" s="4" t="inlineStr">
        <is>
          <t>Not run</t>
        </is>
      </c>
      <c r="H42" s="4" t="inlineStr"/>
      <c r="I42" s="5" t="inlineStr"/>
      <c r="J42" s="4" t="inlineStr"/>
    </row>
    <row r="43">
      <c r="A43" s="2" t="inlineStr">
        <is>
          <t>5. Staff Users and Technician Registration</t>
        </is>
      </c>
      <c r="B43" s="3" t="inlineStr">
        <is>
          <t>USER-04</t>
        </is>
      </c>
      <c r="C43" s="2" t="inlineStr">
        <is>
          <t>Import technicians from the PSA</t>
        </is>
      </c>
      <c r="D43" s="2" t="inlineStr">
        <is>
          <t>/dashboard/users &gt; Import from PSA. Select the Autotask connection.</t>
        </is>
      </c>
      <c r="E43" s="2" t="inlineStr">
        <is>
          <t>Active PSA technicians are listed with their names and emails.</t>
        </is>
      </c>
      <c r="F43" s="2" t="inlineStr">
        <is>
          <t>GET /api/admin/psa-technicians/{psaConnectionId}.</t>
        </is>
      </c>
      <c r="G43" s="4" t="inlineStr">
        <is>
          <t>Not run</t>
        </is>
      </c>
      <c r="H43" s="4" t="inlineStr"/>
      <c r="I43" s="5" t="inlineStr"/>
      <c r="J43" s="4" t="inlineStr"/>
    </row>
    <row r="44">
      <c r="A44" s="2" t="inlineStr">
        <is>
          <t>5. Staff Users and Technician Registration</t>
        </is>
      </c>
      <c r="B44" s="3" t="inlineStr">
        <is>
          <t>USER-05</t>
        </is>
      </c>
      <c r="C44" s="2" t="inlineStr">
        <is>
          <t>A PSA technician with no email is refused</t>
        </is>
      </c>
      <c r="D44" s="2" t="inlineStr">
        <is>
          <t>Attempt to import a technician whose PSA record has no email address.</t>
        </is>
      </c>
      <c r="E44" s="2" t="inlineStr">
        <is>
          <t>Refused with a reason, not silently skipped and not created with a placeholder.</t>
        </is>
      </c>
      <c r="F44" s="2" t="inlineStr">
        <is>
          <t>API response. Provisioning deliberately will not invent an identity.</t>
        </is>
      </c>
      <c r="G44" s="4" t="inlineStr">
        <is>
          <t>Not run</t>
        </is>
      </c>
      <c r="H44" s="4" t="inlineStr"/>
      <c r="I44" s="5" t="inlineStr"/>
      <c r="J44" s="4" t="inlineStr"/>
    </row>
    <row r="45">
      <c r="A45" s="2" t="inlineStr">
        <is>
          <t>5. Staff Users and Technician Registration</t>
        </is>
      </c>
      <c r="B45" s="3" t="inlineStr">
        <is>
          <t>USER-06</t>
        </is>
      </c>
      <c r="C45" s="2" t="inlineStr">
        <is>
          <t>Importing a technician creates a usable portal user</t>
        </is>
      </c>
      <c r="D45" s="2" t="inlineStr">
        <is>
          <t>POST /api/admin/psa-technicians/{connectionId}/{externalTechnicianId}.</t>
        </is>
      </c>
      <c r="E45" s="2" t="inlineStr">
        <is>
          <t>A portal user is created AND bound to that PSA technician id.</t>
        </is>
      </c>
      <c r="F45" s="2" t="inlineStr">
        <is>
          <t>GET /api/admin/users/{id}/psa-identities.</t>
        </is>
      </c>
      <c r="G45" s="4" t="inlineStr">
        <is>
          <t>Not run</t>
        </is>
      </c>
      <c r="H45" s="4" t="inlineStr"/>
      <c r="I45" s="5" t="inlineStr"/>
      <c r="J45" s="4" t="inlineStr"/>
    </row>
    <row r="46">
      <c r="A46" s="2" t="inlineStr">
        <is>
          <t>5. Staff Users and Technician Registration</t>
        </is>
      </c>
      <c r="B46" s="3" t="inlineStr">
        <is>
          <t>USER-07</t>
        </is>
      </c>
      <c r="C46" s="2" t="inlineStr">
        <is>
          <t>Per-connection PSA identity mapping</t>
        </is>
      </c>
      <c r="D46" s="2" t="inlineStr">
        <is>
          <t>PUT /api/admin/users/{id}/psa-identities/{psaConnectionId} to map a user to an Autotask resource id, then map the same user on the ConnectWise connection to a member id.</t>
        </is>
      </c>
      <c r="E46" s="2" t="inlineStr">
        <is>
          <t>Both mappings coexist. They are per connection because an Autotask numeric resourceID and a ConnectWise member identifier are different kinds of thing.</t>
        </is>
      </c>
      <c r="F46" s="2" t="inlineStr">
        <is>
          <t>SQL: select * from user_psa_identities where "AppUserId"='&lt;id&gt;'.</t>
        </is>
      </c>
      <c r="G46" s="4" t="inlineStr">
        <is>
          <t>Not run</t>
        </is>
      </c>
      <c r="H46" s="4" t="inlineStr"/>
      <c r="I46" s="5" t="inlineStr"/>
      <c r="J46" s="4" t="inlineStr"/>
    </row>
    <row r="47">
      <c r="A47" s="2" t="inlineStr">
        <is>
          <t>5. Staff Users and Technician Registration</t>
        </is>
      </c>
      <c r="B47" s="3" t="inlineStr">
        <is>
          <t>USER-08</t>
        </is>
      </c>
      <c r="C47" s="2" t="inlineStr">
        <is>
          <t>Time is attributed to the mapped technician</t>
        </is>
      </c>
      <c r="D47" s="2" t="inlineStr">
        <is>
          <t>As a mapped user, log time on a ticket, then check the entry in the PSA.</t>
        </is>
      </c>
      <c r="E47" s="2" t="inlineStr">
        <is>
          <t>The PSA time entry is owned by that technician, not by the API integration user.</t>
        </is>
      </c>
      <c r="F47" s="2" t="inlineStr">
        <is>
          <t>PSA UI + portal time entry list.</t>
        </is>
      </c>
      <c r="G47" s="4" t="inlineStr">
        <is>
          <t>Not run</t>
        </is>
      </c>
      <c r="H47" s="4" t="inlineStr"/>
      <c r="I47" s="5" t="inlineStr"/>
      <c r="J47" s="4" t="inlineStr"/>
    </row>
    <row r="48">
      <c r="A48" s="2" t="inlineStr">
        <is>
          <t>5. Staff Users and Technician Registration</t>
        </is>
      </c>
      <c r="B48" s="3" t="inlineStr">
        <is>
          <t>USER-09</t>
        </is>
      </c>
      <c r="C48" s="2" t="inlineStr">
        <is>
          <t>An unmapped user is not guessed at</t>
        </is>
      </c>
      <c r="D48" s="2" t="inlineStr">
        <is>
          <t>Log activity as a portal user with no PSA identity, then run the rollup.</t>
        </is>
      </c>
      <c r="E48" s="2" t="inlineStr">
        <is>
          <t>The daily fact carries a null actor rather than an attributed guess.</t>
        </is>
      </c>
      <c r="F48" s="2" t="inlineStr">
        <is>
          <t>SQL: select "ActorExternalId" from activity_daily_facts order by "Day" desc limit 5.</t>
        </is>
      </c>
      <c r="G48" s="4" t="inlineStr">
        <is>
          <t>Not run</t>
        </is>
      </c>
      <c r="H48" s="4" t="inlineStr"/>
      <c r="I48" s="5" t="inlineStr"/>
      <c r="J48" s="4" t="inlineStr"/>
    </row>
    <row r="49">
      <c r="A49" s="2" t="inlineStr">
        <is>
          <t>5. Staff Users and Technician Registration</t>
        </is>
      </c>
      <c r="B49" s="3" t="inlineStr">
        <is>
          <t>USER-10</t>
        </is>
      </c>
      <c r="C49" s="2" t="inlineStr">
        <is>
          <t>Deactivate a user</t>
        </is>
      </c>
      <c r="D49" s="2" t="inlineStr">
        <is>
          <t>PUT /api/admin/users/{id}/active with false, then try to log in as them.</t>
        </is>
      </c>
      <c r="E49" s="2" t="inlineStr">
        <is>
          <t>Login is refused or lands with no access; the user remains in the list as inactive for audit history.</t>
        </is>
      </c>
      <c r="F49" s="2" t="inlineStr">
        <is>
          <t>Browser + SQL.</t>
        </is>
      </c>
      <c r="G49" s="4" t="inlineStr">
        <is>
          <t>Not run</t>
        </is>
      </c>
      <c r="H49" s="4" t="inlineStr"/>
      <c r="I49" s="5" t="inlineStr"/>
      <c r="J49" s="4" t="inlineStr"/>
    </row>
    <row r="50">
      <c r="A50" s="2" t="inlineStr">
        <is>
          <t>5. Staff Users and Technician Registration</t>
        </is>
      </c>
      <c r="B50" s="3" t="inlineStr">
        <is>
          <t>USER-11</t>
        </is>
      </c>
      <c r="C50" s="2" t="inlineStr">
        <is>
          <t>Delete a user</t>
        </is>
      </c>
      <c r="D50" s="2" t="inlineStr">
        <is>
          <t>DELETE /api/admin/users/{id} for a user with no history, and one with ticket history.</t>
        </is>
      </c>
      <c r="E50" s="2" t="inlineStr">
        <is>
          <t>Behaviour is consistent and explained; historical attribution is not silently orphaned.</t>
        </is>
      </c>
      <c r="F50" s="2" t="inlineStr">
        <is>
          <t>API + SQL.</t>
        </is>
      </c>
      <c r="G50" s="4" t="inlineStr">
        <is>
          <t>Not run</t>
        </is>
      </c>
      <c r="H50" s="4" t="inlineStr"/>
      <c r="I50" s="5" t="inlineStr"/>
      <c r="J50" s="4" t="inlineStr"/>
    </row>
    <row r="51">
      <c r="A51" s="2" t="inlineStr">
        <is>
          <t>5. Staff Users and Technician Registration</t>
        </is>
      </c>
      <c r="B51" s="3" t="inlineStr">
        <is>
          <t>USER-12</t>
        </is>
      </c>
      <c r="C51" s="2" t="inlineStr">
        <is>
          <t>Profile photo upload and removal</t>
        </is>
      </c>
      <c r="D51" s="2" t="inlineStr">
        <is>
          <t>POST then DELETE /api/admin/users/{id}/photo.</t>
        </is>
      </c>
      <c r="E51" s="2" t="inlineStr">
        <is>
          <t>Photo appears in the user list and detail, and removal restores the initials avatar.</t>
        </is>
      </c>
      <c r="F51" s="2" t="inlineStr">
        <is>
          <t>Browser.</t>
        </is>
      </c>
      <c r="G51" s="4" t="inlineStr">
        <is>
          <t>Not run</t>
        </is>
      </c>
      <c r="H51" s="4" t="inlineStr"/>
      <c r="I51" s="5" t="inlineStr"/>
      <c r="J51" s="4" t="inlineStr"/>
    </row>
    <row r="52">
      <c r="A52" s="2" t="inlineStr">
        <is>
          <t>5. Staff Users and Technician Registration</t>
        </is>
      </c>
      <c r="B52" s="3" t="inlineStr">
        <is>
          <t>USER-13</t>
        </is>
      </c>
      <c r="C52" s="2" t="inlineStr">
        <is>
          <t>Board / queue access grants</t>
        </is>
      </c>
      <c r="D52" s="2" t="inlineStr">
        <is>
          <t>PUT /api/admin/users/{id}/board-grants restricting a technician to one board.</t>
        </is>
      </c>
      <c r="E52" s="2" t="inlineStr">
        <is>
          <t>The technician sees only tickets on that board.</t>
        </is>
      </c>
      <c r="F52" s="2" t="inlineStr">
        <is>
          <t>Browser as that user + SQL cross-check.</t>
        </is>
      </c>
      <c r="G52" s="4" t="inlineStr">
        <is>
          <t>Not run</t>
        </is>
      </c>
      <c r="H52" s="4" t="inlineStr"/>
      <c r="I52" s="5" t="inlineStr"/>
      <c r="J52" s="4" t="inlineStr"/>
    </row>
    <row r="53">
      <c r="A53" s="2" t="inlineStr">
        <is>
          <t>5. Staff Users and Technician Registration</t>
        </is>
      </c>
      <c r="B53" s="3" t="inlineStr">
        <is>
          <t>USER-14</t>
        </is>
      </c>
      <c r="C53" s="2" t="inlineStr">
        <is>
          <t>User detail tabs load</t>
        </is>
      </c>
      <c r="D53" s="2" t="inlineStr">
        <is>
          <t>Open /dashboard/users/{id} and visit every tab.</t>
        </is>
      </c>
      <c r="E53" s="2" t="inlineStr">
        <is>
          <t>All tabs render with real data and no console errors.</t>
        </is>
      </c>
      <c r="F53" s="2" t="inlineStr">
        <is>
          <t>Browser DevTools console.</t>
        </is>
      </c>
      <c r="G53" s="4" t="inlineStr">
        <is>
          <t>Not run</t>
        </is>
      </c>
      <c r="H53" s="4" t="inlineStr"/>
      <c r="I53" s="5" t="inlineStr"/>
      <c r="J53" s="4" t="inlineStr"/>
    </row>
    <row r="54">
      <c r="A54" s="2" t="inlineStr">
        <is>
          <t>6. Departments and Teams</t>
        </is>
      </c>
      <c r="B54" s="3" t="inlineStr">
        <is>
          <t>ORG-01</t>
        </is>
      </c>
      <c r="C54" s="2" t="inlineStr">
        <is>
          <t>Default departments are seeded</t>
        </is>
      </c>
      <c r="D54" s="2" t="inlineStr">
        <is>
          <t>Create a new organization and inspect its departments.</t>
        </is>
      </c>
      <c r="E54" s="2" t="inlineStr">
        <is>
          <t>IT Support, NOC, Projects, Sales, Billing, Administration, Security.</t>
        </is>
      </c>
      <c r="F54" s="2" t="inlineStr">
        <is>
          <t>SQL: select "Name" from departments where "MspOrganizationId"='&lt;new org&gt;'.</t>
        </is>
      </c>
      <c r="G54" s="4" t="inlineStr">
        <is>
          <t>Not run</t>
        </is>
      </c>
      <c r="H54" s="4" t="inlineStr"/>
      <c r="I54" s="5" t="inlineStr"/>
      <c r="J54" s="4" t="inlineStr"/>
    </row>
    <row r="55">
      <c r="A55" s="2" t="inlineStr">
        <is>
          <t>6. Departments and Teams</t>
        </is>
      </c>
      <c r="B55" s="3" t="inlineStr">
        <is>
          <t>ORG-02</t>
        </is>
      </c>
      <c r="C55" s="2" t="inlineStr">
        <is>
          <t>Seeding is idempotent and non-resurrecting</t>
        </is>
      </c>
      <c r="D55" s="2" t="inlineStr">
        <is>
          <t>Delete one default department, then restart the API.</t>
        </is>
      </c>
      <c r="E55" s="2" t="inlineStr">
        <is>
          <t>The deleted department stays deleted. Seeding skips any org that already has ANY departments.</t>
        </is>
      </c>
      <c r="F55" s="2" t="inlineStr">
        <is>
          <t>SQL before and after restart.</t>
        </is>
      </c>
      <c r="G55" s="4" t="inlineStr">
        <is>
          <t>Not run</t>
        </is>
      </c>
      <c r="H55" s="4" t="inlineStr"/>
      <c r="I55" s="5" t="inlineStr"/>
      <c r="J55" s="4" t="inlineStr"/>
    </row>
    <row r="56">
      <c r="A56" s="2" t="inlineStr">
        <is>
          <t>6. Departments and Teams</t>
        </is>
      </c>
      <c r="B56" s="3" t="inlineStr">
        <is>
          <t>ORG-03</t>
        </is>
      </c>
      <c r="C56" s="2" t="inlineStr">
        <is>
          <t>Create, rename, deactivate a department</t>
        </is>
      </c>
      <c r="D56" s="2" t="inlineStr">
        <is>
          <t>POST /api/admin/departments, PUT it, then PUT .../active false.</t>
        </is>
      </c>
      <c r="E56" s="2" t="inlineStr">
        <is>
          <t>Each step succeeds and is reflected in /dashboard/departments.</t>
        </is>
      </c>
      <c r="F56" s="2" t="inlineStr">
        <is>
          <t>Browser + API.</t>
        </is>
      </c>
      <c r="G56" s="4" t="inlineStr">
        <is>
          <t>Not run</t>
        </is>
      </c>
      <c r="H56" s="4" t="inlineStr"/>
      <c r="I56" s="5" t="inlineStr"/>
      <c r="J56" s="4" t="inlineStr"/>
    </row>
    <row r="57">
      <c r="A57" s="2" t="inlineStr">
        <is>
          <t>6. Departments and Teams</t>
        </is>
      </c>
      <c r="B57" s="3" t="inlineStr">
        <is>
          <t>ORG-04</t>
        </is>
      </c>
      <c r="C57" s="2" t="inlineStr">
        <is>
          <t>Team membership</t>
        </is>
      </c>
      <c r="D57" s="2" t="inlineStr">
        <is>
          <t>Create a team, add and remove a user via POST/DELETE /api/admin/users/{id}/teams/{teamId}.</t>
        </is>
      </c>
      <c r="E57" s="2" t="inlineStr">
        <is>
          <t>Membership updates immediately and appears on the user detail page.</t>
        </is>
      </c>
      <c r="F57" s="2" t="inlineStr">
        <is>
          <t>Browser.</t>
        </is>
      </c>
      <c r="G57" s="4" t="inlineStr">
        <is>
          <t>Not run</t>
        </is>
      </c>
      <c r="H57" s="4" t="inlineStr"/>
      <c r="I57" s="5" t="inlineStr"/>
      <c r="J57" s="4" t="inlineStr"/>
    </row>
    <row r="58">
      <c r="A58" s="2" t="inlineStr">
        <is>
          <t>6. Departments and Teams</t>
        </is>
      </c>
      <c r="B58" s="3" t="inlineStr">
        <is>
          <t>ORG-05</t>
        </is>
      </c>
      <c r="C58" s="2" t="inlineStr">
        <is>
          <t>Departments page is permission gated</t>
        </is>
      </c>
      <c r="D58" s="2" t="inlineStr">
        <is>
          <t>Open /dashboard/departments as a Technician.</t>
        </is>
      </c>
      <c r="E58" s="2" t="inlineStr">
        <is>
          <t>Refused - the page is gated on users.manage by design (no dedicated permission).</t>
        </is>
      </c>
      <c r="F58" s="2" t="inlineStr">
        <is>
          <t>Browser + API 403.</t>
        </is>
      </c>
      <c r="G58" s="4" t="inlineStr">
        <is>
          <t>Not run</t>
        </is>
      </c>
      <c r="H58" s="4" t="inlineStr"/>
      <c r="I58" s="5" t="inlineStr"/>
      <c r="J58" s="4" t="inlineStr"/>
    </row>
    <row r="59">
      <c r="A59" s="2" t="inlineStr">
        <is>
          <t>6. Departments and Teams</t>
        </is>
      </c>
      <c r="B59" s="3" t="inlineStr">
        <is>
          <t>ORG-06</t>
        </is>
      </c>
      <c r="C59" s="2" t="inlineStr">
        <is>
          <t>Org structure endpoint</t>
        </is>
      </c>
      <c r="D59" s="2" t="inlineStr">
        <is>
          <t>GET /api/admin/org-structure.</t>
        </is>
      </c>
      <c r="E59" s="2" t="inlineStr">
        <is>
          <t>Returns the department/team tree with member counts matching the database.</t>
        </is>
      </c>
      <c r="F59" s="2" t="inlineStr">
        <is>
          <t>API + SQL counts.</t>
        </is>
      </c>
      <c r="G59" s="4" t="inlineStr">
        <is>
          <t>Not run</t>
        </is>
      </c>
      <c r="H59" s="4" t="inlineStr"/>
      <c r="I59" s="5" t="inlineStr"/>
      <c r="J59" s="4" t="inlineStr"/>
    </row>
    <row r="60">
      <c r="A60" s="2" t="inlineStr">
        <is>
          <t>7. Client Users and the Client Portal</t>
        </is>
      </c>
      <c r="B60" s="3" t="inlineStr">
        <is>
          <t>CLIENT-01</t>
        </is>
      </c>
      <c r="C60" s="2" t="inlineStr">
        <is>
          <t>Invite a client user</t>
        </is>
      </c>
      <c r="D60" s="2" t="inlineStr">
        <is>
          <t>/control-panel/users &gt; invite, or POST /api/control-panel/users.</t>
        </is>
      </c>
      <c r="E60" s="2" t="inlineStr">
        <is>
          <t>Invited user appears with the correct company and no staff permissions.</t>
        </is>
      </c>
      <c r="F60" s="2" t="inlineStr">
        <is>
          <t>Browser + SQL: select * from client_users order by "CreatedAt" desc limit 1.</t>
        </is>
      </c>
      <c r="G60" s="4" t="inlineStr">
        <is>
          <t>Not run</t>
        </is>
      </c>
      <c r="H60" s="4" t="inlineStr"/>
      <c r="I60" s="5" t="inlineStr"/>
      <c r="J60" s="4" t="inlineStr"/>
    </row>
    <row r="61">
      <c r="A61" s="2" t="inlineStr">
        <is>
          <t>7. Client Users and the Client Portal</t>
        </is>
      </c>
      <c r="B61" s="3" t="inlineStr">
        <is>
          <t>CLIENT-02</t>
        </is>
      </c>
      <c r="C61" s="2" t="inlineStr">
        <is>
          <t>Import contacts from the PSA</t>
        </is>
      </c>
      <c r="D61" s="2" t="inlineStr">
        <is>
          <t>Control Panel &gt; Accounts &gt; Import from PSA (POST /api/control-panel/import-from-psa).</t>
        </is>
      </c>
      <c r="E61" s="2" t="inlineStr">
        <is>
          <t>PSA contacts become client_users with their real email addresses.</t>
        </is>
      </c>
      <c r="F61" s="2" t="inlineStr">
        <is>
          <t>Browser + SQL count before/after.</t>
        </is>
      </c>
      <c r="G61" s="4" t="inlineStr">
        <is>
          <t>Not run</t>
        </is>
      </c>
      <c r="H61" s="4" t="inlineStr"/>
      <c r="I61" s="5" t="inlineStr"/>
      <c r="J61" s="4" t="inlineStr"/>
    </row>
    <row r="62">
      <c r="A62" s="2" t="inlineStr">
        <is>
          <t>7. Client Users and the Client Portal</t>
        </is>
      </c>
      <c r="B62" s="3" t="inlineStr">
        <is>
          <t>CLIENT-03</t>
        </is>
      </c>
      <c r="C62" s="2" t="inlineStr">
        <is>
          <t>Client can raise a ticket</t>
        </is>
      </c>
      <c r="D62" s="2" t="inlineStr">
        <is>
          <t>As a client user, create a ticket from the portal.</t>
        </is>
      </c>
      <c r="E62" s="2" t="inlineStr">
        <is>
          <t>Ticket is created in the PSA first, then stored locally with a portal-origin sync event.</t>
        </is>
      </c>
      <c r="F62" s="2" t="inlineStr">
        <is>
          <t>Portal + PSA UI. Confirm the ticket exists in the PSA, not only in the portal.</t>
        </is>
      </c>
      <c r="G62" s="4" t="inlineStr">
        <is>
          <t>Not run</t>
        </is>
      </c>
      <c r="H62" s="4" t="inlineStr"/>
      <c r="I62" s="5" t="inlineStr"/>
      <c r="J62" s="4" t="inlineStr"/>
    </row>
    <row r="63">
      <c r="A63" s="2" t="inlineStr">
        <is>
          <t>7. Client Users and the Client Portal</t>
        </is>
      </c>
      <c r="B63" s="3" t="inlineStr">
        <is>
          <t>CLIENT-04</t>
        </is>
      </c>
      <c r="C63" s="2" t="inlineStr">
        <is>
          <t>Client can reply but not use staff tooling</t>
        </is>
      </c>
      <c r="D63" s="2" t="inlineStr">
        <is>
          <t>Open a ticket as a client user.</t>
        </is>
      </c>
      <c r="E63" s="2" t="inlineStr">
        <is>
          <t>Reply box present. No time panel, no assignment control, no internal-note toggle; the status is a static badge.</t>
        </is>
      </c>
      <c r="F63" s="2" t="inlineStr">
        <is>
          <t>Browser.</t>
        </is>
      </c>
      <c r="G63" s="4" t="inlineStr">
        <is>
          <t>Not run</t>
        </is>
      </c>
      <c r="H63" s="4" t="inlineStr"/>
      <c r="I63" s="5" t="inlineStr"/>
      <c r="J63" s="4" t="inlineStr"/>
    </row>
    <row r="64">
      <c r="A64" s="2" t="inlineStr">
        <is>
          <t>7. Client Users and the Client Portal</t>
        </is>
      </c>
      <c r="B64" s="3" t="inlineStr">
        <is>
          <t>CLIENT-05</t>
        </is>
      </c>
      <c r="C64" s="2" t="inlineStr">
        <is>
          <t>Client thread sides and attribution</t>
        </is>
      </c>
      <c r="D64" s="2" t="inlineStr">
        <is>
          <t>View a thread containing both client and staff notes.</t>
        </is>
      </c>
      <c r="E64" s="2" t="inlineStr">
        <is>
          <t>Client messages left, staff right, with correct author names.</t>
        </is>
      </c>
      <c r="F64" s="2" t="inlineStr">
        <is>
          <t>Browser. Notes imported before FromClient was captured keep their old side until re-imported - do not report that as a new bug.</t>
        </is>
      </c>
      <c r="G64" s="4" t="inlineStr">
        <is>
          <t>Not run</t>
        </is>
      </c>
      <c r="H64" s="4" t="inlineStr"/>
      <c r="I64" s="5" t="inlineStr"/>
      <c r="J64" s="4" t="inlineStr"/>
    </row>
    <row r="65">
      <c r="A65" s="2" t="inlineStr">
        <is>
          <t>7. Client Users and the Client Portal</t>
        </is>
      </c>
      <c r="B65" s="3" t="inlineStr">
        <is>
          <t>CLIENT-06</t>
        </is>
      </c>
      <c r="C65" s="2" t="inlineStr">
        <is>
          <t>Section delegation</t>
        </is>
      </c>
      <c r="D65" s="2" t="inlineStr">
        <is>
          <t>Grant a non-admin client user access to only the Instructions section for one account.</t>
        </is>
      </c>
      <c r="E65" s="2" t="inlineStr">
        <is>
          <t>That user sees Instructions for that account and nothing else.</t>
        </is>
      </c>
      <c r="F65" s="2" t="inlineStr">
        <is>
          <t>Browser as that user.</t>
        </is>
      </c>
      <c r="G65" s="4" t="inlineStr">
        <is>
          <t>Not run</t>
        </is>
      </c>
      <c r="H65" s="4" t="inlineStr"/>
      <c r="I65" s="5" t="inlineStr"/>
      <c r="J65" s="4" t="inlineStr"/>
    </row>
    <row r="66">
      <c r="A66" s="2" t="inlineStr">
        <is>
          <t>7. Client Users and the Client Portal</t>
        </is>
      </c>
      <c r="B66" s="3" t="inlineStr">
        <is>
          <t>CLIENT-07</t>
        </is>
      </c>
      <c r="C66" s="2" t="inlineStr">
        <is>
          <t>Last client admin cannot be removed</t>
        </is>
      </c>
      <c r="D66" s="2" t="inlineStr">
        <is>
          <t>Attempt to deactivate the only client administrator for a company.</t>
        </is>
      </c>
      <c r="E66" s="2" t="inlineStr">
        <is>
          <t>Refused.</t>
        </is>
      </c>
      <c r="F66" s="2" t="inlineStr">
        <is>
          <t>Browser.</t>
        </is>
      </c>
      <c r="G66" s="4" t="inlineStr">
        <is>
          <t>Not run</t>
        </is>
      </c>
      <c r="H66" s="4" t="inlineStr"/>
      <c r="I66" s="5" t="inlineStr"/>
      <c r="J66" s="4" t="inlineStr"/>
    </row>
    <row r="67">
      <c r="A67" s="2" t="inlineStr">
        <is>
          <t>7. Client Users and the Client Portal</t>
        </is>
      </c>
      <c r="B67" s="3" t="inlineStr">
        <is>
          <t>CLIENT-08</t>
        </is>
      </c>
      <c r="C67" s="2" t="inlineStr">
        <is>
          <t>Client cannot see another company</t>
        </is>
      </c>
      <c r="D67" s="2" t="inlineStr">
        <is>
          <t>As a client user of company X, request a ticket belonging to company Y.</t>
        </is>
      </c>
      <c r="E67" s="2" t="inlineStr">
        <is>
          <t>Refused.</t>
        </is>
      </c>
      <c r="F67" s="2" t="inlineStr">
        <is>
          <t>API.</t>
        </is>
      </c>
      <c r="G67" s="4" t="inlineStr">
        <is>
          <t>Not run</t>
        </is>
      </c>
      <c r="H67" s="4" t="inlineStr"/>
      <c r="I67" s="5" t="inlineStr"/>
      <c r="J67" s="4" t="inlineStr"/>
    </row>
    <row r="68">
      <c r="A68" s="2" t="inlineStr">
        <is>
          <t>8. PSA Connections</t>
        </is>
      </c>
      <c r="B68" s="3" t="inlineStr">
        <is>
          <t>CONN-01</t>
        </is>
      </c>
      <c r="C68" s="2" t="inlineStr">
        <is>
          <t>Create a connection</t>
        </is>
      </c>
      <c r="D68" s="2" t="inlineStr">
        <is>
          <t>/dashboard/connections &gt; Add. Enter endpoint and credentials. NOTE: the tester enters credentials themselves - never paste them into a chat or a ticket.</t>
        </is>
      </c>
      <c r="E68" s="2" t="inlineStr">
        <is>
          <t>Connection saved; credentials go to the encrypted secret store and only a reference is on the row.</t>
        </is>
      </c>
      <c r="F68" s="2" t="inlineStr">
        <is>
          <t>SQL: select "CredentialSecretRef" from psa_connections - it is a reference, not a secret.</t>
        </is>
      </c>
      <c r="G68" s="4" t="inlineStr">
        <is>
          <t>Not run</t>
        </is>
      </c>
      <c r="H68" s="4" t="inlineStr"/>
      <c r="I68" s="5" t="inlineStr"/>
      <c r="J68" s="4" t="inlineStr"/>
    </row>
    <row r="69">
      <c r="A69" s="2" t="inlineStr">
        <is>
          <t>8. PSA Connections</t>
        </is>
      </c>
      <c r="B69" s="3" t="inlineStr">
        <is>
          <t>CONN-02</t>
        </is>
      </c>
      <c r="C69" s="2" t="inlineStr">
        <is>
          <t>Test connection</t>
        </is>
      </c>
      <c r="D69" s="2" t="inlineStr">
        <is>
          <t>POST /api/admin/connections/{id}/test.</t>
        </is>
      </c>
      <c r="E69" s="2" t="inlineStr">
        <is>
          <t>Status becomes Healthy on success; a wrong credential yields the provider's own error message, not a generic 500.</t>
        </is>
      </c>
      <c r="F69" s="2" t="inlineStr">
        <is>
          <t>Browser + API. Deliberately break a credential to see the real message.</t>
        </is>
      </c>
      <c r="G69" s="4" t="inlineStr">
        <is>
          <t>Not run</t>
        </is>
      </c>
      <c r="H69" s="4" t="inlineStr"/>
      <c r="I69" s="5" t="inlineStr"/>
      <c r="J69" s="4" t="inlineStr"/>
    </row>
    <row r="70">
      <c r="A70" s="2" t="inlineStr">
        <is>
          <t>8. PSA Connections</t>
        </is>
      </c>
      <c r="B70" s="3" t="inlineStr">
        <is>
          <t>CONN-03</t>
        </is>
      </c>
      <c r="C70" s="2" t="inlineStr">
        <is>
          <t>Credential rotation merges rather than clobbers</t>
        </is>
      </c>
      <c r="D70" s="2" t="inlineStr">
        <is>
          <t>Edit a connection and change ONLY one credential field, leaving the others blank.</t>
        </is>
      </c>
      <c r="E70" s="2" t="inlineStr">
        <is>
          <t>Typed values are merged over stored ones; untouched fields are preserved.</t>
        </is>
      </c>
      <c r="F70" s="2" t="inlineStr">
        <is>
          <t>Re-run Test connection - it must still succeed.</t>
        </is>
      </c>
      <c r="G70" s="4" t="inlineStr">
        <is>
          <t>Not run</t>
        </is>
      </c>
      <c r="H70" s="4" t="inlineStr"/>
      <c r="I70" s="5" t="inlineStr"/>
      <c r="J70" s="4" t="inlineStr"/>
    </row>
    <row r="71">
      <c r="A71" s="2" t="inlineStr">
        <is>
          <t>8. PSA Connections</t>
        </is>
      </c>
      <c r="B71" s="3" t="inlineStr">
        <is>
          <t>CONN-04</t>
        </is>
      </c>
      <c r="C71" s="2" t="inlineStr">
        <is>
          <t>Per-field stored-credential chips</t>
        </is>
      </c>
      <c r="D71" s="2" t="inlineStr">
        <is>
          <t>Open the edit form for a configured connection.</t>
        </is>
      </c>
      <c r="E71" s="2" t="inlineStr">
        <is>
          <t>Each credential field shows Stored or Nothing stored. No secret value is displayed.</t>
        </is>
      </c>
      <c r="F71" s="2" t="inlineStr">
        <is>
          <t>Browser.</t>
        </is>
      </c>
      <c r="G71" s="4" t="inlineStr">
        <is>
          <t>Not run</t>
        </is>
      </c>
      <c r="H71" s="4" t="inlineStr"/>
      <c r="I71" s="5" t="inlineStr"/>
      <c r="J71" s="4" t="inlineStr"/>
    </row>
    <row r="72">
      <c r="A72" s="2" t="inlineStr">
        <is>
          <t>8. PSA Connections</t>
        </is>
      </c>
      <c r="B72" s="3" t="inlineStr">
        <is>
          <t>CONN-05</t>
        </is>
      </c>
      <c r="C72" s="2" t="inlineStr">
        <is>
          <t>Enable / disable</t>
        </is>
      </c>
      <c r="D72" s="2" t="inlineStr">
        <is>
          <t>POST /api/admin/connections/{id}/enabled false.</t>
        </is>
      </c>
      <c r="E72" s="2" t="inlineStr">
        <is>
          <t>Sync stops for that connection; the UI shows it disabled; no errors are logged.</t>
        </is>
      </c>
      <c r="F72" s="2" t="inlineStr">
        <is>
          <t>Worker log - no further PSA calls for that connection.</t>
        </is>
      </c>
      <c r="G72" s="4" t="inlineStr">
        <is>
          <t>Not run</t>
        </is>
      </c>
      <c r="H72" s="4" t="inlineStr"/>
      <c r="I72" s="5" t="inlineStr"/>
      <c r="J72" s="4" t="inlineStr"/>
    </row>
    <row r="73">
      <c r="A73" s="2" t="inlineStr">
        <is>
          <t>8. PSA Connections</t>
        </is>
      </c>
      <c r="B73" s="3" t="inlineStr">
        <is>
          <t>CONN-06</t>
        </is>
      </c>
      <c r="C73" s="2" t="inlineStr">
        <is>
          <t>Field discovery</t>
        </is>
      </c>
      <c r="D73" s="2" t="inlineStr">
        <is>
          <t>POST /api/admin/connections/{id}/fields/refresh then GET .../fields.</t>
        </is>
      </c>
      <c r="E73" s="2" t="inlineStr">
        <is>
          <t>Boards/queues, statuses, priorities, categories, work types, work roles and technicians come back populated.</t>
        </is>
      </c>
      <c r="F73" s="2" t="inlineStr">
        <is>
          <t>API. Compare option counts against the PSA UI.</t>
        </is>
      </c>
      <c r="G73" s="4" t="inlineStr">
        <is>
          <t>Not run</t>
        </is>
      </c>
      <c r="H73" s="4" t="inlineStr"/>
      <c r="I73" s="5" t="inlineStr"/>
      <c r="J73" s="4" t="inlineStr"/>
    </row>
    <row r="74">
      <c r="A74" s="2" t="inlineStr">
        <is>
          <t>8. PSA Connections</t>
        </is>
      </c>
      <c r="B74" s="3" t="inlineStr">
        <is>
          <t>CONN-07</t>
        </is>
      </c>
      <c r="C74" s="2" t="inlineStr">
        <is>
          <t>Retired picklist values are excluded</t>
        </is>
      </c>
      <c r="D74" s="2" t="inlineStr">
        <is>
          <t>Retire a status in the PSA, refresh fields, and open the mapping page.</t>
        </is>
      </c>
      <c r="E74" s="2" t="inlineStr">
        <is>
          <t>The retired value no longer appears as a selectable option, and any rule still pointing at it shows red 'Not accepted by PSA' rather than green Mapped.</t>
        </is>
      </c>
      <c r="F74" s="2" t="inlineStr">
        <is>
          <t>Browser. This is a real defect class - retired values saved fine and were rejected on every write.</t>
        </is>
      </c>
      <c r="G74" s="4" t="inlineStr">
        <is>
          <t>Not run</t>
        </is>
      </c>
      <c r="H74" s="4" t="inlineStr"/>
      <c r="I74" s="5" t="inlineStr"/>
      <c r="J74" s="4" t="inlineStr"/>
    </row>
    <row r="75">
      <c r="A75" s="2" t="inlineStr">
        <is>
          <t>8. PSA Connections</t>
        </is>
      </c>
      <c r="B75" s="3" t="inlineStr">
        <is>
          <t>CONN-08</t>
        </is>
      </c>
      <c r="C75" s="2" t="inlineStr">
        <is>
          <t>Discovery offers two representations</t>
        </is>
      </c>
      <c r="D75" s="2" t="inlineStr">
        <is>
          <t>Inspect GET /api/admin/connections/{id}/fields for queuesOrBoards.</t>
        </is>
      </c>
      <c r="E75" s="2" t="inlineStr">
        <is>
          <t>Each option carries value (the id, sent TO the provider) and syncValue (the name, what tickets ARRIVE with). For queues these differ.</t>
        </is>
      </c>
      <c r="F75" s="2" t="inlineStr">
        <is>
          <t>Raw JSON. This split is what makes mapping and filtering both work.</t>
        </is>
      </c>
      <c r="G75" s="4" t="inlineStr">
        <is>
          <t>Not run</t>
        </is>
      </c>
      <c r="H75" s="4" t="inlineStr"/>
      <c r="I75" s="5" t="inlineStr"/>
      <c r="J75" s="4" t="inlineStr"/>
    </row>
    <row r="76">
      <c r="A76" s="2" t="inlineStr">
        <is>
          <t>8. PSA Connections</t>
        </is>
      </c>
      <c r="B76" s="3" t="inlineStr">
        <is>
          <t>CONN-09</t>
        </is>
      </c>
      <c r="C76" s="2" t="inlineStr">
        <is>
          <t>Import filters</t>
        </is>
      </c>
      <c r="D76" s="2" t="inlineStr">
        <is>
          <t>Set FilterQueueIds / FilterCompanyIds / FilterActiveWithinDays and run a sync.</t>
        </is>
      </c>
      <c r="E76" s="2" t="inlineStr">
        <is>
          <t>Only matching tickets are imported. Filters are applied provider-side AND re-applied client-side so both connectors behave identically.</t>
        </is>
      </c>
      <c r="F76" s="2" t="inlineStr">
        <is>
          <t>SQL ticket count + worker log.</t>
        </is>
      </c>
      <c r="G76" s="4" t="inlineStr">
        <is>
          <t>Not run</t>
        </is>
      </c>
      <c r="H76" s="4" t="inlineStr"/>
      <c r="I76" s="5" t="inlineStr"/>
      <c r="J76" s="4" t="inlineStr"/>
    </row>
    <row r="77">
      <c r="A77" s="2" t="inlineStr">
        <is>
          <t>8. PSA Connections</t>
        </is>
      </c>
      <c r="B77" s="3" t="inlineStr">
        <is>
          <t>CONN-10</t>
        </is>
      </c>
      <c r="C77" s="2" t="inlineStr">
        <is>
          <t>Include closed tickets toggle</t>
        </is>
      </c>
      <c r="D77" s="2" t="inlineStr">
        <is>
          <t>Turn ImportClosedTickets off, force a full re-sync, then on again.</t>
        </is>
      </c>
      <c r="E77" s="2" t="inlineStr">
        <is>
          <t>Closed tickets are excluded then included. Closed rows already imported keep their data.</t>
        </is>
      </c>
      <c r="F77" s="2" t="inlineStr">
        <is>
          <t>SQL: count(*) filter (where "ClosedAt" is not null).</t>
        </is>
      </c>
      <c r="G77" s="4" t="inlineStr">
        <is>
          <t>Not run</t>
        </is>
      </c>
      <c r="H77" s="4" t="inlineStr"/>
      <c r="I77" s="5" t="inlineStr"/>
      <c r="J77" s="4" t="inlineStr"/>
    </row>
    <row r="78">
      <c r="A78" s="2" t="inlineStr">
        <is>
          <t>8. PSA Connections</t>
        </is>
      </c>
      <c r="B78" s="3" t="inlineStr">
        <is>
          <t>CONN-11</t>
        </is>
      </c>
      <c r="C78" s="2" t="inlineStr">
        <is>
          <t>Time entry readiness check</t>
        </is>
      </c>
      <c r="D78" s="2" t="inlineStr">
        <is>
          <t>POST /api/admin/connections/{id}/check-time-entry.</t>
        </is>
      </c>
      <c r="E78" s="2" t="inlineStr">
        <is>
          <t>Autotask reports by name: no technician set / technician gone / holds no active role / configured role not held (listing the roles they DO hold) / Ready. No time entry is created.</t>
        </is>
      </c>
      <c r="F78" s="2" t="inlineStr">
        <is>
          <t>API + SQL: confirm no new time entry row exists.</t>
        </is>
      </c>
      <c r="G78" s="4" t="inlineStr">
        <is>
          <t>Not run</t>
        </is>
      </c>
      <c r="H78" s="4" t="inlineStr"/>
      <c r="I78" s="5" t="inlineStr"/>
      <c r="J78" s="4" t="inlineStr"/>
    </row>
    <row r="79">
      <c r="A79" s="2" t="inlineStr">
        <is>
          <t>8. PSA Connections</t>
        </is>
      </c>
      <c r="B79" s="3" t="inlineStr">
        <is>
          <t>CONN-12</t>
        </is>
      </c>
      <c r="C79" s="2" t="inlineStr">
        <is>
          <t>Sync now</t>
        </is>
      </c>
      <c r="D79" s="2" t="inlineStr">
        <is>
          <t>POST /api/admin/connections/{id}/sync.</t>
        </is>
      </c>
      <c r="E79" s="2" t="inlineStr">
        <is>
          <t>A sync runs immediately and the result is reported.</t>
        </is>
      </c>
      <c r="F79" s="2" t="inlineStr">
        <is>
          <t>Worker/API log.</t>
        </is>
      </c>
      <c r="G79" s="4" t="inlineStr">
        <is>
          <t>Not run</t>
        </is>
      </c>
      <c r="H79" s="4" t="inlineStr"/>
      <c r="I79" s="5" t="inlineStr"/>
      <c r="J79" s="4" t="inlineStr"/>
    </row>
    <row r="80">
      <c r="A80" s="2" t="inlineStr">
        <is>
          <t>8. PSA Connections</t>
        </is>
      </c>
      <c r="B80" s="3" t="inlineStr">
        <is>
          <t>CONN-13</t>
        </is>
      </c>
      <c r="C80" s="2" t="inlineStr">
        <is>
          <t>Connection health page</t>
        </is>
      </c>
      <c r="D80" s="2" t="inlineStr">
        <is>
          <t>Open /dashboard/health.</t>
        </is>
      </c>
      <c r="E80" s="2" t="inlineStr">
        <is>
          <t>Shows last successful sync, last health check and last error per connection, matching SQL.</t>
        </is>
      </c>
      <c r="F80" s="2" t="inlineStr">
        <is>
          <t>Browser + SQL on psa_connections.</t>
        </is>
      </c>
      <c r="G80" s="4" t="inlineStr">
        <is>
          <t>Not run</t>
        </is>
      </c>
      <c r="H80" s="4" t="inlineStr"/>
      <c r="I80" s="5" t="inlineStr"/>
      <c r="J80" s="4" t="inlineStr"/>
    </row>
    <row r="81">
      <c r="A81" s="2" t="inlineStr">
        <is>
          <t>8. PSA Connections</t>
        </is>
      </c>
      <c r="B81" s="3" t="inlineStr">
        <is>
          <t>CONN-14</t>
        </is>
      </c>
      <c r="C81" s="2" t="inlineStr">
        <is>
          <t>Failure marks the connection degraded</t>
        </is>
      </c>
      <c r="D81" s="2" t="inlineStr">
        <is>
          <t>Temporarily point a connection at an unreachable endpoint and let a sync run.</t>
        </is>
      </c>
      <c r="E81" s="2" t="inlineStr">
        <is>
          <t>Status becomes Failed/Degraded with the real reason in LastError, and the loop keeps running for the other connection.</t>
        </is>
      </c>
      <c r="F81" s="2" t="inlineStr">
        <is>
          <t>SQL + worker log.</t>
        </is>
      </c>
      <c r="G81" s="4" t="inlineStr">
        <is>
          <t>Not run</t>
        </is>
      </c>
      <c r="H81" s="4" t="inlineStr"/>
      <c r="I81" s="5" t="inlineStr"/>
      <c r="J81" s="4" t="inlineStr"/>
    </row>
    <row r="82">
      <c r="A82" s="2" t="inlineStr">
        <is>
          <t>9. Field Mapping</t>
        </is>
      </c>
      <c r="B82" s="3" t="inlineStr">
        <is>
          <t>MAP-01</t>
        </is>
      </c>
      <c r="C82" s="2" t="inlineStr">
        <is>
          <t>Mapping page lists live options</t>
        </is>
      </c>
      <c r="D82" s="2" t="inlineStr">
        <is>
          <t>Open /dashboard/mappings, pick a connection and the status tab.</t>
        </is>
      </c>
      <c r="E82" s="2" t="inlineStr">
        <is>
          <t>Options come from live discovery, showing human labels.</t>
        </is>
      </c>
      <c r="F82" s="2" t="inlineStr">
        <is>
          <t>Browser.</t>
        </is>
      </c>
      <c r="G82" s="4" t="inlineStr">
        <is>
          <t>Not run</t>
        </is>
      </c>
      <c r="H82" s="4" t="inlineStr"/>
      <c r="I82" s="5" t="inlineStr"/>
      <c r="J82" s="4" t="inlineStr"/>
    </row>
    <row r="83">
      <c r="A83" s="2" t="inlineStr">
        <is>
          <t>9. Field Mapping</t>
        </is>
      </c>
      <c r="B83" s="3" t="inlineStr">
        <is>
          <t>MAP-02</t>
        </is>
      </c>
      <c r="C83" s="2" t="inlineStr">
        <is>
          <t>A saved rule matches an incoming ticket</t>
        </is>
      </c>
      <c r="D83" s="2" t="inlineStr">
        <is>
          <t>Save a status mapping through the UI, then force a re-sync.</t>
        </is>
      </c>
      <c r="E83" s="2" t="inlineStr">
        <is>
          <t>Tickets in that status show the mapped PORTAL value.</t>
        </is>
      </c>
      <c r="F83" s="2" t="inlineStr">
        <is>
          <t>SQL: select "PsaStatus","PortalStatus" ... - THE KEY CHECK IS THAT THEY DIFFER. PsaStatus = PortalStatus on every row means nothing is mapping at all.</t>
        </is>
      </c>
      <c r="G83" s="4" t="inlineStr">
        <is>
          <t>Not run</t>
        </is>
      </c>
      <c r="H83" s="4" t="inlineStr"/>
      <c r="I83" s="5" t="inlineStr"/>
      <c r="J83" s="4" t="inlineStr"/>
    </row>
    <row r="84">
      <c r="A84" s="2" t="inlineStr">
        <is>
          <t>9. Field Mapping</t>
        </is>
      </c>
      <c r="B84" s="3" t="inlineStr">
        <is>
          <t>MAP-03</t>
        </is>
      </c>
      <c r="C84" s="2" t="inlineStr">
        <is>
          <t>Unmapped provider values are reported</t>
        </is>
      </c>
      <c r="D84" s="2" t="inlineStr">
        <is>
          <t>Move a ticket in the PSA into a status with no rule, then sync.</t>
        </is>
      </c>
      <c r="E84" s="2" t="inlineStr">
        <is>
          <t>The worker logs a warning naming provider, field and value, once per run.</t>
        </is>
      </c>
      <c r="F84" s="2" t="inlineStr">
        <is>
          <t>docker logs desk-portal-prod-worker-1 | grep 'No mapping rule matches'. Silence here used to mean the bug was invisible.</t>
        </is>
      </c>
      <c r="G84" s="4" t="inlineStr">
        <is>
          <t>Not run</t>
        </is>
      </c>
      <c r="H84" s="4" t="inlineStr"/>
      <c r="I84" s="5" t="inlineStr"/>
      <c r="J84" s="4" t="inlineStr"/>
    </row>
    <row r="85">
      <c r="A85" s="2" t="inlineStr">
        <is>
          <t>9. Field Mapping</t>
        </is>
      </c>
      <c r="B85" s="3" t="inlineStr">
        <is>
          <t>MAP-04</t>
        </is>
      </c>
      <c r="C85" s="2" t="inlineStr">
        <is>
          <t>Unmapped values fall through, they do not crash</t>
        </is>
      </c>
      <c r="D85" s="2" t="inlineStr">
        <is>
          <t>Same as MAP-03.</t>
        </is>
      </c>
      <c r="E85" s="2" t="inlineStr">
        <is>
          <t>The ticket still imports, carrying the provider's raw value.</t>
        </is>
      </c>
      <c r="F85" s="2" t="inlineStr">
        <is>
          <t>SQL.</t>
        </is>
      </c>
      <c r="G85" s="4" t="inlineStr">
        <is>
          <t>Not run</t>
        </is>
      </c>
      <c r="H85" s="4" t="inlineStr"/>
      <c r="I85" s="5" t="inlineStr"/>
      <c r="J85" s="4" t="inlineStr"/>
    </row>
    <row r="86">
      <c r="A86" s="2" t="inlineStr">
        <is>
          <t>9. Field Mapping</t>
        </is>
      </c>
      <c r="B86" s="3" t="inlineStr">
        <is>
          <t>MAP-05</t>
        </is>
      </c>
      <c r="C86" s="2" t="inlineStr">
        <is>
          <t>Inbound ambiguity is prevented</t>
        </is>
      </c>
      <c r="D86" s="2" t="inlineStr">
        <is>
          <t>Run the ambiguity query after any mapping change: select "PsaConnectionId","PortalField","ExternalValue",count(*) from field_mappings where "IsActive" and "Direction" in (2,3) group by 1,2,3 having count(*)&gt;1;</t>
        </is>
      </c>
      <c r="E86" s="2" t="inlineStr">
        <is>
          <t>Zero rows. Two inbound rules on one provider value resolve non-deterministically.</t>
        </is>
      </c>
      <c r="F86" s="2" t="inlineStr">
        <is>
          <t>SQL. Run the mirror query for outbound: Direction in (1,3) grouped by PortalValue.</t>
        </is>
      </c>
      <c r="G86" s="4" t="inlineStr">
        <is>
          <t>Not run</t>
        </is>
      </c>
      <c r="H86" s="4" t="inlineStr"/>
      <c r="I86" s="5" t="inlineStr"/>
      <c r="J86" s="4" t="inlineStr"/>
    </row>
    <row r="87">
      <c r="A87" s="2" t="inlineStr">
        <is>
          <t>9. Field Mapping</t>
        </is>
      </c>
      <c r="B87" s="3" t="inlineStr">
        <is>
          <t>MAP-06</t>
        </is>
      </c>
      <c r="C87" s="2" t="inlineStr">
        <is>
          <t>Direction is honoured</t>
        </is>
      </c>
      <c r="D87" s="2" t="inlineStr">
        <is>
          <t>Create a ProviderToPortal-only rule and push a change from the portal.</t>
        </is>
      </c>
      <c r="E87" s="2" t="inlineStr">
        <is>
          <t>The inbound-only rule is not used outbound.</t>
        </is>
      </c>
      <c r="F87" s="2" t="inlineStr">
        <is>
          <t>PSA UI - confirm the pushed value came from the bidirectional rule.</t>
        </is>
      </c>
      <c r="G87" s="4" t="inlineStr">
        <is>
          <t>Not run</t>
        </is>
      </c>
      <c r="H87" s="4" t="inlineStr"/>
      <c r="I87" s="5" t="inlineStr"/>
      <c r="J87" s="4" t="inlineStr"/>
    </row>
    <row r="88">
      <c r="A88" s="2" t="inlineStr">
        <is>
          <t>9. Field Mapping</t>
        </is>
      </c>
      <c r="B88" s="3" t="inlineStr">
        <is>
          <t>MAP-07</t>
        </is>
      </c>
      <c r="C88" s="2" t="inlineStr">
        <is>
          <t>Two portal values sharing one provider value</t>
        </is>
      </c>
      <c r="D88" s="2" t="inlineStr">
        <is>
          <t>Map RESOLVED and CLOSED both to the same provider status.</t>
        </is>
      </c>
      <c r="E88" s="2" t="inlineStr">
        <is>
          <t>Exactly one is Bidirectional and the other PortalToProvider, so inbound is deterministic.</t>
        </is>
      </c>
      <c r="F88" s="2" t="inlineStr">
        <is>
          <t>SQL + an inbound sync of a closed ticket.</t>
        </is>
      </c>
      <c r="G88" s="4" t="inlineStr">
        <is>
          <t>Not run</t>
        </is>
      </c>
      <c r="H88" s="4" t="inlineStr"/>
      <c r="I88" s="5" t="inlineStr"/>
      <c r="J88" s="4" t="inlineStr"/>
    </row>
    <row r="89">
      <c r="A89" s="2" t="inlineStr">
        <is>
          <t>9. Field Mapping</t>
        </is>
      </c>
      <c r="B89" s="3" t="inlineStr">
        <is>
          <t>MAP-08</t>
        </is>
      </c>
      <c r="C89" s="2" t="inlineStr">
        <is>
          <t>Autotask numeric picklists resolve</t>
        </is>
      </c>
      <c r="D89" s="2" t="inlineStr">
        <is>
          <t>Change a ticket status from the portal on an Autotask ticket.</t>
        </is>
      </c>
      <c r="E89" s="2" t="inlineStr">
        <is>
          <t>The label is resolved to the numeric id before the write; no 'Could not convert string to integer' error.</t>
        </is>
      </c>
      <c r="F89" s="2" t="inlineStr">
        <is>
          <t>PSA UI + API response.</t>
        </is>
      </c>
      <c r="G89" s="4" t="inlineStr">
        <is>
          <t>Not run</t>
        </is>
      </c>
      <c r="H89" s="4" t="inlineStr"/>
      <c r="I89" s="5" t="inlineStr"/>
      <c r="J89" s="4" t="inlineStr"/>
    </row>
    <row r="90">
      <c r="A90" s="2" t="inlineStr">
        <is>
          <t>9. Field Mapping</t>
        </is>
      </c>
      <c r="B90" s="3" t="inlineStr">
        <is>
          <t>MAP-09</t>
        </is>
      </c>
      <c r="C90" s="2" t="inlineStr">
        <is>
          <t>ConnectWise board-scoped statuses</t>
        </is>
      </c>
      <c r="D90" s="2" t="inlineStr">
        <is>
          <t>Change status on ConnectWise tickets that live on different boards.</t>
        </is>
      </c>
      <c r="E90" s="2" t="inlineStr">
        <is>
          <t>The status name resolves against each ticket's OWN board.</t>
        </is>
      </c>
      <c r="F90" s="2" t="inlineStr">
        <is>
          <t>PSA UI. An id from another board must produce a clear error naming the available statuses.</t>
        </is>
      </c>
      <c r="G90" s="4" t="inlineStr">
        <is>
          <t>Not run</t>
        </is>
      </c>
      <c r="H90" s="4" t="inlineStr"/>
      <c r="I90" s="5" t="inlineStr"/>
      <c r="J90" s="4" t="inlineStr"/>
    </row>
    <row r="91">
      <c r="A91" s="2" t="inlineStr">
        <is>
          <t>9. Field Mapping</t>
        </is>
      </c>
      <c r="B91" s="3" t="inlineStr">
        <is>
          <t>MAP-10</t>
        </is>
      </c>
      <c r="C91" s="2" t="inlineStr">
        <is>
          <t>Statuses from every board are offered</t>
        </is>
      </c>
      <c r="D91" s="2" t="inlineStr">
        <is>
          <t>On ConnectWise, confirm the status dropdown includes a status that exists only on a second board.</t>
        </is>
      </c>
      <c r="E91" s="2" t="inlineStr">
        <is>
          <t>Present. Reading only the first board hides statuses tickets genuinely arrive in.</t>
        </is>
      </c>
      <c r="F91" s="2" t="inlineStr">
        <is>
          <t>Browser.</t>
        </is>
      </c>
      <c r="G91" s="4" t="inlineStr">
        <is>
          <t>Not run</t>
        </is>
      </c>
      <c r="H91" s="4" t="inlineStr"/>
      <c r="I91" s="5" t="inlineStr"/>
      <c r="J91" s="4" t="inlineStr"/>
    </row>
    <row r="92">
      <c r="A92" s="2" t="inlineStr">
        <is>
          <t>9. Field Mapping</t>
        </is>
      </c>
      <c r="B92" s="3" t="inlineStr">
        <is>
          <t>MAP-11</t>
        </is>
      </c>
      <c r="C92" s="2" t="inlineStr">
        <is>
          <t>Queue and category mapping</t>
        </is>
      </c>
      <c r="D92" s="2" t="inlineStr">
        <is>
          <t>Map a provider queue name to a different portal name and re-sync.</t>
        </is>
      </c>
      <c r="E92" s="2" t="inlineStr">
        <is>
          <t>Tickets display the portal name.</t>
        </is>
      </c>
      <c r="F92" s="2" t="inlineStr">
        <is>
          <t>SQL on tickets."QueueOrBoard".</t>
        </is>
      </c>
      <c r="G92" s="4" t="inlineStr">
        <is>
          <t>Not run</t>
        </is>
      </c>
      <c r="H92" s="4" t="inlineStr"/>
      <c r="I92" s="5" t="inlineStr"/>
      <c r="J92" s="4" t="inlineStr"/>
    </row>
    <row r="93">
      <c r="A93" s="2" t="inlineStr">
        <is>
          <t>9. Field Mapping</t>
        </is>
      </c>
      <c r="B93" s="3" t="inlineStr">
        <is>
          <t>MAP-12</t>
        </is>
      </c>
      <c r="C93" s="2" t="inlineStr">
        <is>
          <t>Mapping change reaches tickets already imported</t>
        </is>
      </c>
      <c r="D93" s="2" t="inlineStr">
        <is>
          <t>Change a queue or status mapping, then force a re-sync.</t>
        </is>
      </c>
      <c r="E93" s="2" t="inlineStr">
        <is>
          <t>EXISTING tickets update, not only new ones.</t>
        </is>
      </c>
      <c r="F93" s="2" t="inlineStr">
        <is>
          <t>SQL before/after. If nothing changes, the field is missing from the update hash - that exact bug has occurred three times.</t>
        </is>
      </c>
      <c r="G93" s="4" t="inlineStr">
        <is>
          <t>Not run</t>
        </is>
      </c>
      <c r="H93" s="4" t="inlineStr"/>
      <c r="I93" s="5" t="inlineStr"/>
      <c r="J93" s="4" t="inlineStr"/>
    </row>
    <row r="94">
      <c r="A94" s="2" t="inlineStr">
        <is>
          <t>9. Field Mapping</t>
        </is>
      </c>
      <c r="B94" s="3" t="inlineStr">
        <is>
          <t>MAP-13</t>
        </is>
      </c>
      <c r="C94" s="2" t="inlineStr">
        <is>
          <t>Version snapshot and rollback</t>
        </is>
      </c>
      <c r="D94" s="2" t="inlineStr">
        <is>
          <t>Change a mapping, then GET /api/admin/mappings/versions and roll back.</t>
        </is>
      </c>
      <c r="E94" s="2" t="inlineStr">
        <is>
          <t>The prior rule set is restored exactly.</t>
        </is>
      </c>
      <c r="F94" s="2" t="inlineStr">
        <is>
          <t>API + SQL. field_mapping_versions.SnapshotJson is also the recovery path after a bad direct SQL edit.</t>
        </is>
      </c>
      <c r="G94" s="4" t="inlineStr">
        <is>
          <t>Not run</t>
        </is>
      </c>
      <c r="H94" s="4" t="inlineStr"/>
      <c r="I94" s="5" t="inlineStr"/>
      <c r="J94" s="4" t="inlineStr"/>
    </row>
    <row r="95">
      <c r="A95" s="2" t="inlineStr">
        <is>
          <t>9. Field Mapping</t>
        </is>
      </c>
      <c r="B95" s="3" t="inlineStr">
        <is>
          <t>MAP-14</t>
        </is>
      </c>
      <c r="C95" s="2" t="inlineStr">
        <is>
          <t>Direct SQL edits must be connection-scoped</t>
        </is>
      </c>
      <c r="D95" s="2" t="inlineStr">
        <is>
          <t>If editing mappings in SQL, always include PsaConnectionId and check the reported row count against what you expected.</t>
        </is>
      </c>
      <c r="E95" s="2" t="inlineStr">
        <is>
          <t>Row count matches expectation exactly.</t>
        </is>
      </c>
      <c r="F95" s="2" t="inlineStr">
        <is>
          <t>psql. An UPDATE without PsaConnectionId hits BOTH connections - this has happened.</t>
        </is>
      </c>
      <c r="G95" s="4" t="inlineStr">
        <is>
          <t>Not run</t>
        </is>
      </c>
      <c r="H95" s="4" t="inlineStr"/>
      <c r="I95" s="5" t="inlineStr"/>
      <c r="J95" s="4" t="inlineStr"/>
    </row>
    <row r="96">
      <c r="A96" s="2" t="inlineStr">
        <is>
          <t>9. Field Mapping</t>
        </is>
      </c>
      <c r="B96" s="3" t="inlineStr">
        <is>
          <t>MAP-15</t>
        </is>
      </c>
      <c r="C96" s="2" t="inlineStr">
        <is>
          <t>Work type mapping</t>
        </is>
      </c>
      <c r="D96" s="2" t="inlineStr">
        <is>
          <t>Map a portal work type to a provider work type and log time using it.</t>
        </is>
      </c>
      <c r="E96" s="2" t="inlineStr">
        <is>
          <t>The PSA time entry carries the mapped work type.</t>
        </is>
      </c>
      <c r="F96" s="2" t="inlineStr">
        <is>
          <t>PSA UI.</t>
        </is>
      </c>
      <c r="G96" s="4" t="inlineStr">
        <is>
          <t>Not run</t>
        </is>
      </c>
      <c r="H96" s="4" t="inlineStr"/>
      <c r="I96" s="5" t="inlineStr"/>
      <c r="J96" s="4" t="inlineStr"/>
    </row>
    <row r="97">
      <c r="A97" s="2" t="inlineStr">
        <is>
          <t>9. Field Mapping</t>
        </is>
      </c>
      <c r="B97" s="3" t="inlineStr">
        <is>
          <t>MAP-16</t>
        </is>
      </c>
      <c r="C97" s="2" t="inlineStr">
        <is>
          <t>Mapping rules take effect without a restart</t>
        </is>
      </c>
      <c r="D97" s="2" t="inlineStr">
        <is>
          <t>Edit a rule in the database, then wait for the next sync tick.</t>
        </is>
      </c>
      <c r="E97" s="2" t="inlineStr">
        <is>
          <t>The new rule applies - rules are read fresh from the database each run, with no cache.</t>
        </is>
      </c>
      <c r="F97" s="2" t="inlineStr">
        <is>
          <t>SQL + worker behaviour. Note such edits bypass the version snapshot and audit trail.</t>
        </is>
      </c>
      <c r="G97" s="4" t="inlineStr">
        <is>
          <t>Not run</t>
        </is>
      </c>
      <c r="H97" s="4" t="inlineStr"/>
      <c r="I97" s="5" t="inlineStr"/>
      <c r="J97" s="4" t="inlineStr"/>
    </row>
    <row r="98">
      <c r="A98" s="2" t="inlineStr">
        <is>
          <t>10. Ticket Sync Engine</t>
        </is>
      </c>
      <c r="B98" s="3" t="inlineStr">
        <is>
          <t>SYNC-01</t>
        </is>
      </c>
      <c r="C98" s="2" t="inlineStr">
        <is>
          <t>First import creates tickets and companies</t>
        </is>
      </c>
      <c r="D98" s="2" t="inlineStr">
        <is>
          <t>Point a connection at a PSA with tickets and run a full sync.</t>
        </is>
      </c>
      <c r="E98" s="2" t="inlineStr">
        <is>
          <t>Tickets imported and client companies auto-created for unknown company ids.</t>
        </is>
      </c>
      <c r="F98" s="2" t="inlineStr">
        <is>
          <t>SQL counts on tickets and client_companies.</t>
        </is>
      </c>
      <c r="G98" s="4" t="inlineStr">
        <is>
          <t>Not run</t>
        </is>
      </c>
      <c r="H98" s="4" t="inlineStr"/>
      <c r="I98" s="5" t="inlineStr"/>
      <c r="J98" s="4" t="inlineStr"/>
    </row>
    <row r="99">
      <c r="A99" s="2" t="inlineStr">
        <is>
          <t>10. Ticket Sync Engine</t>
        </is>
      </c>
      <c r="B99" s="3" t="inlineStr">
        <is>
          <t>SYNC-02</t>
        </is>
      </c>
      <c r="C99" s="2" t="inlineStr">
        <is>
          <t>Pagination reads past the first page</t>
        </is>
      </c>
      <c r="D99" s="2" t="inlineStr">
        <is>
          <t>Ensure the PSA has more tickets in range than the page size (100), then force a full re-sync with: update psa_connections set "LastSuccessfulSyncAt"=NULL;</t>
        </is>
      </c>
      <c r="E99" s="2" t="inlineStr">
        <is>
          <t>ALL tickets import, not the first 100. Autotask follows nextPageUrl; ConnectWise pages by number ordered by id.</t>
        </is>
      </c>
      <c r="F99" s="2" t="inlineStr">
        <is>
          <t>SQL count vs the PSA's own count. This bug silently cost 34 of 135 tickets.</t>
        </is>
      </c>
      <c r="G99" s="4" t="inlineStr">
        <is>
          <t>Not run</t>
        </is>
      </c>
      <c r="H99" s="4" t="inlineStr"/>
      <c r="I99" s="5" t="inlineStr"/>
      <c r="J99" s="4" t="inlineStr"/>
    </row>
    <row r="100">
      <c r="A100" s="2" t="inlineStr">
        <is>
          <t>10. Ticket Sync Engine</t>
        </is>
      </c>
      <c r="B100" s="3" t="inlineStr">
        <is>
          <t>SYNC-03</t>
        </is>
      </c>
      <c r="C100" s="2" t="inlineStr">
        <is>
          <t>Page boundaries do not skip or duplicate</t>
        </is>
      </c>
      <c r="D100" s="2" t="inlineStr">
        <is>
          <t>After SYNC-02, check for duplicates.</t>
        </is>
      </c>
      <c r="E100" s="2" t="inlineStr">
        <is>
          <t>select "ExternalTicketId",count(*) from tickets group by 1 having count(*)&gt;1 returns nothing, and the total matches the PSA.</t>
        </is>
      </c>
      <c r="F100" s="2" t="inlineStr">
        <is>
          <t>SQL.</t>
        </is>
      </c>
      <c r="G100" s="4" t="inlineStr">
        <is>
          <t>Not run</t>
        </is>
      </c>
      <c r="H100" s="4" t="inlineStr"/>
      <c r="I100" s="5" t="inlineStr"/>
      <c r="J100" s="4" t="inlineStr"/>
    </row>
    <row r="101">
      <c r="A101" s="2" t="inlineStr">
        <is>
          <t>10. Ticket Sync Engine</t>
        </is>
      </c>
      <c r="B101" s="3" t="inlineStr">
        <is>
          <t>SYNC-04</t>
        </is>
      </c>
      <c r="C101" s="2" t="inlineStr">
        <is>
          <t>Page cap is reported, not silent</t>
        </is>
      </c>
      <c r="D101" s="2" t="inlineStr">
        <is>
          <t>If a run hits the 50-page safety cap, the worker warns.</t>
        </is>
      </c>
      <c r="E101" s="2" t="inlineStr">
        <is>
          <t>A warning naming the connection appears; the run is known to be incomplete.</t>
        </is>
      </c>
      <c r="F101" s="2" t="inlineStr">
        <is>
          <t>grep 'safety cap' in the worker log.</t>
        </is>
      </c>
      <c r="G101" s="4" t="inlineStr">
        <is>
          <t>Not run</t>
        </is>
      </c>
      <c r="H101" s="4" t="inlineStr"/>
      <c r="I101" s="5" t="inlineStr"/>
      <c r="J101" s="4" t="inlineStr"/>
    </row>
    <row r="102">
      <c r="A102" s="2" t="inlineStr">
        <is>
          <t>10. Ticket Sync Engine</t>
        </is>
      </c>
      <c r="B102" s="3" t="inlineStr">
        <is>
          <t>SYNC-05</t>
        </is>
      </c>
      <c r="C102" s="2" t="inlineStr">
        <is>
          <t>Unchanged ticket is skipped</t>
        </is>
      </c>
      <c r="D102" s="2" t="inlineStr">
        <is>
          <t>Run two syncs back to back with no PSA changes.</t>
        </is>
      </c>
      <c r="E102" s="2" t="inlineStr">
        <is>
          <t>The second reports no updates - the update hash short-circuits.</t>
        </is>
      </c>
      <c r="F102" s="2" t="inlineStr">
        <is>
          <t>Worker log / sync result.</t>
        </is>
      </c>
      <c r="G102" s="4" t="inlineStr">
        <is>
          <t>Not run</t>
        </is>
      </c>
      <c r="H102" s="4" t="inlineStr"/>
      <c r="I102" s="5" t="inlineStr"/>
      <c r="J102" s="4" t="inlineStr"/>
    </row>
    <row r="103">
      <c r="A103" s="2" t="inlineStr">
        <is>
          <t>10. Ticket Sync Engine</t>
        </is>
      </c>
      <c r="B103" s="3" t="inlineStr">
        <is>
          <t>SYNC-06</t>
        </is>
      </c>
      <c r="C103" s="2" t="inlineStr">
        <is>
          <t>A changed field always reaches an existing row</t>
        </is>
      </c>
      <c r="D103" s="2" t="inlineStr">
        <is>
          <t>Change ONE field in the PSA (status, priority, title, queue, or a date) and sync.</t>
        </is>
      </c>
      <c r="E103" s="2" t="inlineStr">
        <is>
          <t>The portal row updates. Every field the sync writes must be in the state hash.</t>
        </is>
      </c>
      <c r="F103" s="2" t="inlineStr">
        <is>
          <t>SQL per field. Test the queue and the lifecycle dates specifically - both have failed here.</t>
        </is>
      </c>
      <c r="G103" s="4" t="inlineStr">
        <is>
          <t>Not run</t>
        </is>
      </c>
      <c r="H103" s="4" t="inlineStr"/>
      <c r="I103" s="5" t="inlineStr"/>
      <c r="J103" s="4" t="inlineStr"/>
    </row>
    <row r="104">
      <c r="A104" s="2" t="inlineStr">
        <is>
          <t>10. Ticket Sync Engine</t>
        </is>
      </c>
      <c r="B104" s="3" t="inlineStr">
        <is>
          <t>SYNC-07</t>
        </is>
      </c>
      <c r="C104" s="2" t="inlineStr">
        <is>
          <t>Portal echo is suppressed</t>
        </is>
      </c>
      <c r="D104" s="2" t="inlineStr">
        <is>
          <t>Change a status from the portal, then let the next sync run.</t>
        </is>
      </c>
      <c r="E104" s="2" t="inlineStr">
        <is>
          <t>The change coming back from the PSA is recognised as our own and does not re-trigger an update or a duplicate activity event.</t>
        </is>
      </c>
      <c r="F104" s="2" t="inlineStr">
        <is>
          <t>SQL on sync_events + activity_events counts.</t>
        </is>
      </c>
      <c r="G104" s="4" t="inlineStr">
        <is>
          <t>Not run</t>
        </is>
      </c>
      <c r="H104" s="4" t="inlineStr"/>
      <c r="I104" s="5" t="inlineStr"/>
      <c r="J104" s="4" t="inlineStr"/>
    </row>
    <row r="105">
      <c r="A105" s="2" t="inlineStr">
        <is>
          <t>10. Ticket Sync Engine</t>
        </is>
      </c>
      <c r="B105" s="3" t="inlineStr">
        <is>
          <t>SYNC-08</t>
        </is>
      </c>
      <c r="C105" s="2" t="inlineStr">
        <is>
          <t>Lifecycle dates are captured</t>
        </is>
      </c>
      <c r="D105" s="2" t="inlineStr">
        <is>
          <t>Sync tickets that are open, resolved and closed.</t>
        </is>
      </c>
      <c r="E105" s="2" t="inlineStr">
        <is>
          <t>PsaCreatedAt (raise date), ResolvedAt, ClosedAt and SlaDueAt populate where the provider supplies them.</t>
        </is>
      </c>
      <c r="F105" s="2" t="inlineStr">
        <is>
          <t>SQL: select count(*), count("PsaCreatedAt"), count("ClosedAt"), count("SlaDueAt") from tickets.</t>
        </is>
      </c>
      <c r="G105" s="4" t="inlineStr">
        <is>
          <t>Not run</t>
        </is>
      </c>
      <c r="H105" s="4" t="inlineStr"/>
      <c r="I105" s="5" t="inlineStr"/>
      <c r="J105" s="4" t="inlineStr"/>
    </row>
    <row r="106">
      <c r="A106" s="2" t="inlineStr">
        <is>
          <t>10. Ticket Sync Engine</t>
        </is>
      </c>
      <c r="B106" s="3" t="inlineStr">
        <is>
          <t>SYNC-09</t>
        </is>
      </c>
      <c r="C106" s="2" t="inlineStr">
        <is>
          <t>Raise date is the PSA date, not the import date</t>
        </is>
      </c>
      <c r="D106" s="2" t="inlineStr">
        <is>
          <t>Compare PsaCreatedAt with the ticket's created date in the PSA.</t>
        </is>
      </c>
      <c r="E106" s="2" t="inlineStr">
        <is>
          <t>They match. The row's own CreatedAt is the import time and must not be used as ticket age.</t>
        </is>
      </c>
      <c r="F106" s="2" t="inlineStr">
        <is>
          <t>SQL vs PSA UI.</t>
        </is>
      </c>
      <c r="G106" s="4" t="inlineStr">
        <is>
          <t>Not run</t>
        </is>
      </c>
      <c r="H106" s="4" t="inlineStr"/>
      <c r="I106" s="5" t="inlineStr"/>
      <c r="J106" s="4" t="inlineStr"/>
    </row>
    <row r="107">
      <c r="A107" s="2" t="inlineStr">
        <is>
          <t>10. Ticket Sync Engine</t>
        </is>
      </c>
      <c r="B107" s="3" t="inlineStr">
        <is>
          <t>SYNC-10</t>
        </is>
      </c>
      <c r="C107" s="2" t="inlineStr">
        <is>
          <t>Absent is distinguished from empty</t>
        </is>
      </c>
      <c r="D107" s="2" t="inlineStr">
        <is>
          <t>Check a ConnectWise open ticket.</t>
        </is>
      </c>
      <c r="E107" s="2" t="inlineStr">
        <is>
          <t>ClosedAt is null because the provider omits the field while the ticket is open - not because the mapping is wrong. Do not fill it with lastUpdated.</t>
        </is>
      </c>
      <c r="F107" s="2" t="inlineStr">
        <is>
          <t>SQL + the connector's field-shape log line.</t>
        </is>
      </c>
      <c r="G107" s="4" t="inlineStr">
        <is>
          <t>Not run</t>
        </is>
      </c>
      <c r="H107" s="4" t="inlineStr"/>
      <c r="I107" s="5" t="inlineStr"/>
      <c r="J107" s="4" t="inlineStr"/>
    </row>
    <row r="108">
      <c r="A108" s="2" t="inlineStr">
        <is>
          <t>10. Ticket Sync Engine</t>
        </is>
      </c>
      <c r="B108" s="3" t="inlineStr">
        <is>
          <t>SYNC-11</t>
        </is>
      </c>
      <c r="C108" s="2" t="inlineStr">
        <is>
          <t>Notes import both ways</t>
        </is>
      </c>
      <c r="D108" s="2" t="inlineStr">
        <is>
          <t>Add a public and an internal note in the PSA, then sync.</t>
        </is>
      </c>
      <c r="E108" s="2" t="inlineStr">
        <is>
          <t>Both import with the correct IsPublic flag and author side.</t>
        </is>
      </c>
      <c r="F108" s="2" t="inlineStr">
        <is>
          <t>Portal thread + SQL on ticket_notes.</t>
        </is>
      </c>
      <c r="G108" s="4" t="inlineStr">
        <is>
          <t>Not run</t>
        </is>
      </c>
      <c r="H108" s="4" t="inlineStr"/>
      <c r="I108" s="5" t="inlineStr"/>
      <c r="J108" s="4" t="inlineStr"/>
    </row>
    <row r="109">
      <c r="A109" s="2" t="inlineStr">
        <is>
          <t>10. Ticket Sync Engine</t>
        </is>
      </c>
      <c r="B109" s="3" t="inlineStr">
        <is>
          <t>SYNC-12</t>
        </is>
      </c>
      <c r="C109" s="2" t="inlineStr">
        <is>
          <t>Time-entry notes are included</t>
        </is>
      </c>
      <c r="D109" s="2" t="inlineStr">
        <is>
          <t>Add a note on a PSA time entry.</t>
        </is>
      </c>
      <c r="E109" s="2" t="inlineStr">
        <is>
          <t>It appears in the portal thread as internal, keyed te-{id}.</t>
        </is>
      </c>
      <c r="F109" s="2" t="inlineStr">
        <is>
          <t>Portal thread.</t>
        </is>
      </c>
      <c r="G109" s="4" t="inlineStr">
        <is>
          <t>Not run</t>
        </is>
      </c>
      <c r="H109" s="4" t="inlineStr"/>
      <c r="I109" s="5" t="inlineStr"/>
      <c r="J109" s="4" t="inlineStr"/>
    </row>
    <row r="110">
      <c r="A110" s="2" t="inlineStr">
        <is>
          <t>10. Ticket Sync Engine</t>
        </is>
      </c>
      <c r="B110" s="3" t="inlineStr">
        <is>
          <t>SYNC-13</t>
        </is>
      </c>
      <c r="C110" s="2" t="inlineStr">
        <is>
          <t>Deletion reconciliation</t>
        </is>
      </c>
      <c r="D110" s="2" t="inlineStr">
        <is>
          <t>Delete a note in the PSA and sync.</t>
        </is>
      </c>
      <c r="E110" s="2" t="inlineStr">
        <is>
          <t>The portal removes it - but only provider-origin notes; portal-authored notes are never reconciled away.</t>
        </is>
      </c>
      <c r="F110" s="2" t="inlineStr">
        <is>
          <t>SQL on ticket_notes before/after.</t>
        </is>
      </c>
      <c r="G110" s="4" t="inlineStr">
        <is>
          <t>Not run</t>
        </is>
      </c>
      <c r="H110" s="4" t="inlineStr"/>
      <c r="I110" s="5" t="inlineStr"/>
      <c r="J110" s="4" t="inlineStr"/>
    </row>
    <row r="111">
      <c r="A111" s="2" t="inlineStr">
        <is>
          <t>10. Ticket Sync Engine</t>
        </is>
      </c>
      <c r="B111" s="3" t="inlineStr">
        <is>
          <t>SYNC-14</t>
        </is>
      </c>
      <c r="C111" s="2" t="inlineStr">
        <is>
          <t>Unsynced tickets are visible and re-syncable</t>
        </is>
      </c>
      <c r="D111" s="2" t="inlineStr">
        <is>
          <t>GET /api/admin/tickets/unsynced, then POST /api/admin/tickets/{id}/resync.</t>
        </is>
      </c>
      <c r="E111" s="2" t="inlineStr">
        <is>
          <t>Failed rows are listed with their error and can be retried individually.</t>
        </is>
      </c>
      <c r="F111" s="2" t="inlineStr">
        <is>
          <t>Browser + API.</t>
        </is>
      </c>
      <c r="G111" s="4" t="inlineStr">
        <is>
          <t>Not run</t>
        </is>
      </c>
      <c r="H111" s="4" t="inlineStr"/>
      <c r="I111" s="5" t="inlineStr"/>
      <c r="J111" s="4" t="inlineStr"/>
    </row>
    <row r="112">
      <c r="A112" s="2" t="inlineStr">
        <is>
          <t>10. Ticket Sync Engine</t>
        </is>
      </c>
      <c r="B112" s="3" t="inlineStr">
        <is>
          <t>SYNC-15</t>
        </is>
      </c>
      <c r="C112" s="2" t="inlineStr">
        <is>
          <t>A failing connection does not stop the other</t>
        </is>
      </c>
      <c r="D112" s="2" t="inlineStr">
        <is>
          <t>Break connection A's credentials and let a cycle run.</t>
        </is>
      </c>
      <c r="E112" s="2" t="inlineStr">
        <is>
          <t>Connection B still syncs; A is marked with its error.</t>
        </is>
      </c>
      <c r="F112" s="2" t="inlineStr">
        <is>
          <t>Worker log + SQL.</t>
        </is>
      </c>
      <c r="G112" s="4" t="inlineStr">
        <is>
          <t>Not run</t>
        </is>
      </c>
      <c r="H112" s="4" t="inlineStr"/>
      <c r="I112" s="5" t="inlineStr"/>
      <c r="J112" s="4" t="inlineStr"/>
    </row>
    <row r="113">
      <c r="A113" s="2" t="inlineStr">
        <is>
          <t>10. Ticket Sync Engine</t>
        </is>
      </c>
      <c r="B113" s="3" t="inlineStr">
        <is>
          <t>SYNC-16</t>
        </is>
      </c>
      <c r="C113" s="2" t="inlineStr">
        <is>
          <t>Sync completion signal</t>
        </is>
      </c>
      <c r="D113" s="2" t="inlineStr">
        <is>
          <t>To confirm a sync ran, watch psa_connections."LastSuccessfulSyncAt" move.</t>
        </is>
      </c>
      <c r="E113" s="2" t="inlineStr">
        <is>
          <t>The timestamp advances. Do NOT poll the log for a 'Synced ...' line: it is only written when something changed, and docker logs --since still contains earlier runs.</t>
        </is>
      </c>
      <c r="F113" s="2" t="inlineStr">
        <is>
          <t>SQL. This exact mistake produced three false verifications in one day.</t>
        </is>
      </c>
      <c r="G113" s="4" t="inlineStr">
        <is>
          <t>Not run</t>
        </is>
      </c>
      <c r="H113" s="4" t="inlineStr"/>
      <c r="I113" s="5" t="inlineStr"/>
      <c r="J113" s="4" t="inlineStr"/>
    </row>
    <row r="114">
      <c r="A114" s="2" t="inlineStr">
        <is>
          <t>11. Ticket Lifecycle in the Portal</t>
        </is>
      </c>
      <c r="B114" s="3" t="inlineStr">
        <is>
          <t>TKT-01</t>
        </is>
      </c>
      <c r="C114" s="2" t="inlineStr">
        <is>
          <t>Ticket list and filters</t>
        </is>
      </c>
      <c r="D114" s="2" t="inlineStr">
        <is>
          <t>Open /dashboard/tickets and filter by status, queue, technician and unassigned.</t>
        </is>
      </c>
      <c r="E114" s="2" t="inlineStr">
        <is>
          <t>Counts match SQL for the same filter.</t>
        </is>
      </c>
      <c r="F114" s="2" t="inlineStr">
        <is>
          <t>Browser + SQL.</t>
        </is>
      </c>
      <c r="G114" s="4" t="inlineStr">
        <is>
          <t>Not run</t>
        </is>
      </c>
      <c r="H114" s="4" t="inlineStr"/>
      <c r="I114" s="5" t="inlineStr"/>
      <c r="J114" s="4" t="inlineStr"/>
    </row>
    <row r="115">
      <c r="A115" s="2" t="inlineStr">
        <is>
          <t>11. Ticket Lifecycle in the Portal</t>
        </is>
      </c>
      <c r="B115" s="3" t="inlineStr">
        <is>
          <t>TKT-02</t>
        </is>
      </c>
      <c r="C115" s="2" t="inlineStr">
        <is>
          <t>Ticket detail renders fully</t>
        </is>
      </c>
      <c r="D115" s="2" t="inlineStr">
        <is>
          <t>Open a ticket with notes, time entries and attachments.</t>
        </is>
      </c>
      <c r="E115" s="2" t="inlineStr">
        <is>
          <t>Properties rail, conversation, time panel and attachments all render, no console errors.</t>
        </is>
      </c>
      <c r="F115" s="2" t="inlineStr">
        <is>
          <t>Browser DevTools console.</t>
        </is>
      </c>
      <c r="G115" s="4" t="inlineStr">
        <is>
          <t>Not run</t>
        </is>
      </c>
      <c r="H115" s="4" t="inlineStr"/>
      <c r="I115" s="5" t="inlineStr"/>
      <c r="J115" s="4" t="inlineStr"/>
    </row>
    <row r="116">
      <c r="A116" s="2" t="inlineStr">
        <is>
          <t>11. Ticket Lifecycle in the Portal</t>
        </is>
      </c>
      <c r="B116" s="3" t="inlineStr">
        <is>
          <t>TKT-03</t>
        </is>
      </c>
      <c r="C116" s="2" t="inlineStr">
        <is>
          <t>Create a ticket from the portal</t>
        </is>
      </c>
      <c r="D116" s="2" t="inlineStr">
        <is>
          <t>/dashboard/tickets/new, fill required fields, submit.</t>
        </is>
      </c>
      <c r="E116" s="2" t="inlineStr">
        <is>
          <t>Created in the PSA FIRST, then stored locally with the returned external id.</t>
        </is>
      </c>
      <c r="F116" s="2" t="inlineStr">
        <is>
          <t>PSA UI + SQL: "ExternalTicketId" is populated, not null.</t>
        </is>
      </c>
      <c r="G116" s="4" t="inlineStr">
        <is>
          <t>Not run</t>
        </is>
      </c>
      <c r="H116" s="4" t="inlineStr"/>
      <c r="I116" s="5" t="inlineStr"/>
      <c r="J116" s="4" t="inlineStr"/>
    </row>
    <row r="117">
      <c r="A117" s="2" t="inlineStr">
        <is>
          <t>11. Ticket Lifecycle in the Portal</t>
        </is>
      </c>
      <c r="B117" s="3" t="inlineStr">
        <is>
          <t>TKT-04</t>
        </is>
      </c>
      <c r="C117" s="2" t="inlineStr">
        <is>
          <t>Status change pushes to the PSA</t>
        </is>
      </c>
      <c r="D117" s="2" t="inlineStr">
        <is>
          <t>POST /api/tickets/{id}/status or use the UI control.</t>
        </is>
      </c>
      <c r="E117" s="2" t="inlineStr">
        <is>
          <t>The PSA reflects the new status; the portal shows the mapped value.</t>
        </is>
      </c>
      <c r="F117" s="2" t="inlineStr">
        <is>
          <t>PSA UI. Then let a sync run and confirm it is not re-applied as an inbound change.</t>
        </is>
      </c>
      <c r="G117" s="4" t="inlineStr">
        <is>
          <t>Not run</t>
        </is>
      </c>
      <c r="H117" s="4" t="inlineStr"/>
      <c r="I117" s="5" t="inlineStr"/>
      <c r="J117" s="4" t="inlineStr"/>
    </row>
    <row r="118">
      <c r="A118" s="2" t="inlineStr">
        <is>
          <t>11. Ticket Lifecycle in the Portal</t>
        </is>
      </c>
      <c r="B118" s="3" t="inlineStr">
        <is>
          <t>TKT-05</t>
        </is>
      </c>
      <c r="C118" s="2" t="inlineStr">
        <is>
          <t>Rejected status change surfaces the real reason</t>
        </is>
      </c>
      <c r="D118" s="2" t="inlineStr">
        <is>
          <t>Attempt a status the PSA will refuse (for example one from another board).</t>
        </is>
      </c>
      <c r="E118" s="2" t="inlineStr">
        <is>
          <t>The provider's own message is shown, not 'Still rejected' or a generic error, and the stored error is from THIS attempt, not the previous one.</t>
        </is>
      </c>
      <c r="F118" s="2" t="inlineStr">
        <is>
          <t>Browser. Compare the row's UpdatedAt with the time of your attempt.</t>
        </is>
      </c>
      <c r="G118" s="4" t="inlineStr">
        <is>
          <t>Not run</t>
        </is>
      </c>
      <c r="H118" s="4" t="inlineStr"/>
      <c r="I118" s="5" t="inlineStr"/>
      <c r="J118" s="4" t="inlineStr"/>
    </row>
    <row r="119">
      <c r="A119" s="2" t="inlineStr">
        <is>
          <t>11. Ticket Lifecycle in the Portal</t>
        </is>
      </c>
      <c r="B119" s="3" t="inlineStr">
        <is>
          <t>TKT-06</t>
        </is>
      </c>
      <c r="C119" s="2" t="inlineStr">
        <is>
          <t>Assignment</t>
        </is>
      </c>
      <c r="D119" s="2" t="inlineStr">
        <is>
          <t>GET /api/tickets/{id}/assignees then PUT /api/tickets/{id}/assignment.</t>
        </is>
      </c>
      <c r="E119" s="2" t="inlineStr">
        <is>
          <t>Only technicians who cover that queue are offered; the PSA is updated.</t>
        </is>
      </c>
      <c r="F119" s="2" t="inlineStr">
        <is>
          <t>PSA UI.</t>
        </is>
      </c>
      <c r="G119" s="4" t="inlineStr">
        <is>
          <t>Not run</t>
        </is>
      </c>
      <c r="H119" s="4" t="inlineStr"/>
      <c r="I119" s="5" t="inlineStr"/>
      <c r="J119" s="4" t="inlineStr"/>
    </row>
    <row r="120">
      <c r="A120" s="2" t="inlineStr">
        <is>
          <t>11. Ticket Lifecycle in the Portal</t>
        </is>
      </c>
      <c r="B120" s="3" t="inlineStr">
        <is>
          <t>TKT-07</t>
        </is>
      </c>
      <c r="C120" s="2" t="inlineStr">
        <is>
          <t>Service instructions surface</t>
        </is>
      </c>
      <c r="D120" s="2" t="inlineStr">
        <is>
          <t>Set account-level instructions in the Control Panel, then open a ticket for that account.</t>
        </is>
      </c>
      <c r="E120" s="2" t="inlineStr">
        <is>
          <t>The amber instructions panel shows the account override, falling back to the global text.</t>
        </is>
      </c>
      <c r="F120" s="2" t="inlineStr">
        <is>
          <t>Browser.</t>
        </is>
      </c>
      <c r="G120" s="4" t="inlineStr">
        <is>
          <t>Not run</t>
        </is>
      </c>
      <c r="H120" s="4" t="inlineStr"/>
      <c r="I120" s="5" t="inlineStr"/>
      <c r="J120" s="4" t="inlineStr"/>
    </row>
    <row r="121">
      <c r="A121" s="2" t="inlineStr">
        <is>
          <t>11. Ticket Lifecycle in the Portal</t>
        </is>
      </c>
      <c r="B121" s="3" t="inlineStr">
        <is>
          <t>TKT-08</t>
        </is>
      </c>
      <c r="C121" s="2" t="inlineStr">
        <is>
          <t>Ticket page hides staff tooling from clients</t>
        </is>
      </c>
      <c r="D121" s="2" t="inlineStr">
        <is>
          <t>Open the same ticket as a client user.</t>
        </is>
      </c>
      <c r="E121" s="2" t="inlineStr">
        <is>
          <t>Time panel, assignment and status controls absent; the time query is not even issued.</t>
        </is>
      </c>
      <c r="F121" s="2" t="inlineStr">
        <is>
          <t>Browser network tab.</t>
        </is>
      </c>
      <c r="G121" s="4" t="inlineStr">
        <is>
          <t>Not run</t>
        </is>
      </c>
      <c r="H121" s="4" t="inlineStr"/>
      <c r="I121" s="5" t="inlineStr"/>
      <c r="J121" s="4" t="inlineStr"/>
    </row>
    <row r="122">
      <c r="A122" s="2" t="inlineStr">
        <is>
          <t>11. Ticket Lifecycle in the Portal</t>
        </is>
      </c>
      <c r="B122" s="3" t="inlineStr">
        <is>
          <t>TKT-09</t>
        </is>
      </c>
      <c r="C122" s="2" t="inlineStr">
        <is>
          <t>SLA and dates display</t>
        </is>
      </c>
      <c r="D122" s="2" t="inlineStr">
        <is>
          <t>Open a ticket with an SLA target.</t>
        </is>
      </c>
      <c r="E122" s="2" t="inlineStr">
        <is>
          <t>Raise date, SLA due and closure date display and match the PSA.</t>
        </is>
      </c>
      <c r="F122" s="2" t="inlineStr">
        <is>
          <t>Browser vs PSA UI.</t>
        </is>
      </c>
      <c r="G122" s="4" t="inlineStr">
        <is>
          <t>Not run</t>
        </is>
      </c>
      <c r="H122" s="4" t="inlineStr"/>
      <c r="I122" s="5" t="inlineStr"/>
      <c r="J122" s="4" t="inlineStr"/>
    </row>
    <row r="123">
      <c r="A123" s="2" t="inlineStr">
        <is>
          <t>11. Ticket Lifecycle in the Portal</t>
        </is>
      </c>
      <c r="B123" s="3" t="inlineStr">
        <is>
          <t>TKT-10</t>
        </is>
      </c>
      <c r="C123" s="2" t="inlineStr">
        <is>
          <t>Queue change in the PSA reaches the portal</t>
        </is>
      </c>
      <c r="D123" s="2" t="inlineStr">
        <is>
          <t>Move a ticket to another queue in the PSA, changing nothing else, then sync.</t>
        </is>
      </c>
      <c r="E123" s="2" t="inlineStr">
        <is>
          <t>The portal shows the new queue.</t>
        </is>
      </c>
      <c r="F123" s="2" t="inlineStr">
        <is>
          <t>SQL. This silently failed until the queue joined the update hash.</t>
        </is>
      </c>
      <c r="G123" s="4" t="inlineStr">
        <is>
          <t>Not run</t>
        </is>
      </c>
      <c r="H123" s="4" t="inlineStr"/>
      <c r="I123" s="5" t="inlineStr"/>
      <c r="J123" s="4" t="inlineStr"/>
    </row>
    <row r="124">
      <c r="A124" s="2" t="inlineStr">
        <is>
          <t>11. Ticket Lifecycle in the Portal</t>
        </is>
      </c>
      <c r="B124" s="3" t="inlineStr">
        <is>
          <t>TKT-11</t>
        </is>
      </c>
      <c r="C124" s="2" t="inlineStr">
        <is>
          <t>Concurrent edit does not lose data</t>
        </is>
      </c>
      <c r="D124" s="2" t="inlineStr">
        <is>
          <t>Change a ticket in the PSA and in the portal at nearly the same time, then sync.</t>
        </is>
      </c>
      <c r="E124" s="2" t="inlineStr">
        <is>
          <t>No lost update and no infinite echo loop.</t>
        </is>
      </c>
      <c r="F124" s="2" t="inlineStr">
        <is>
          <t>SQL + worker log.</t>
        </is>
      </c>
      <c r="G124" s="4" t="inlineStr">
        <is>
          <t>Not run</t>
        </is>
      </c>
      <c r="H124" s="4" t="inlineStr"/>
      <c r="I124" s="5" t="inlineStr"/>
      <c r="J124" s="4" t="inlineStr"/>
    </row>
    <row r="125">
      <c r="A125" s="2" t="inlineStr">
        <is>
          <t>11. Ticket Lifecycle in the Portal</t>
        </is>
      </c>
      <c r="B125" s="3" t="inlineStr">
        <is>
          <t>TKT-12</t>
        </is>
      </c>
      <c r="C125" s="2" t="inlineStr">
        <is>
          <t>Ticket search</t>
        </is>
      </c>
      <c r="D125" s="2" t="inlineStr">
        <is>
          <t>Use the header search for a ticket reference and a keyword.</t>
        </is>
      </c>
      <c r="E125" s="2" t="inlineStr">
        <is>
          <t>Correct results, scoped to what the user may see.</t>
        </is>
      </c>
      <c r="F125" s="2" t="inlineStr">
        <is>
          <t>Browser as two different roles.</t>
        </is>
      </c>
      <c r="G125" s="4" t="inlineStr">
        <is>
          <t>Not run</t>
        </is>
      </c>
      <c r="H125" s="4" t="inlineStr"/>
      <c r="I125" s="5" t="inlineStr"/>
      <c r="J125" s="4" t="inlineStr"/>
    </row>
    <row r="126">
      <c r="A126" s="2" t="inlineStr">
        <is>
          <t>11. Ticket Lifecycle in the Portal</t>
        </is>
      </c>
      <c r="B126" s="3" t="inlineStr">
        <is>
          <t>TKT-13</t>
        </is>
      </c>
      <c r="C126" s="2" t="inlineStr">
        <is>
          <t>Reply composer keeps a draft</t>
        </is>
      </c>
      <c r="D126" s="2" t="inlineStr">
        <is>
          <t>Type a reply, close the dialog, reopen it.</t>
        </is>
      </c>
      <c r="E126" s="2" t="inlineStr">
        <is>
          <t>The draft text is preserved and the launcher shows a draft-in-progress badge.</t>
        </is>
      </c>
      <c r="F126" s="2" t="inlineStr">
        <is>
          <t>Browser.</t>
        </is>
      </c>
      <c r="G126" s="4" t="inlineStr">
        <is>
          <t>Not run</t>
        </is>
      </c>
      <c r="H126" s="4" t="inlineStr"/>
      <c r="I126" s="5" t="inlineStr"/>
      <c r="J126" s="4" t="inlineStr"/>
    </row>
    <row r="127">
      <c r="A127" s="2" t="inlineStr">
        <is>
          <t>11. Ticket Lifecycle in the Portal</t>
        </is>
      </c>
      <c r="B127" s="3" t="inlineStr">
        <is>
          <t>TKT-14</t>
        </is>
      </c>
      <c r="C127" s="2" t="inlineStr">
        <is>
          <t>Failed send keeps the draft</t>
        </is>
      </c>
      <c r="D127" s="2" t="inlineStr">
        <is>
          <t>Disconnect the network, send a reply, then reconnect.</t>
        </is>
      </c>
      <c r="E127" s="2" t="inlineStr">
        <is>
          <t>The dialog stays open with the text intact; it closes only on success.</t>
        </is>
      </c>
      <c r="F127" s="2" t="inlineStr">
        <is>
          <t>Browser DevTools offline mode.</t>
        </is>
      </c>
      <c r="G127" s="4" t="inlineStr">
        <is>
          <t>Not run</t>
        </is>
      </c>
      <c r="H127" s="4" t="inlineStr"/>
      <c r="I127" s="5" t="inlineStr"/>
      <c r="J127" s="4" t="inlineStr"/>
    </row>
    <row r="128">
      <c r="A128" s="2" t="inlineStr">
        <is>
          <t>12. Notes, Conversation and Recipients</t>
        </is>
      </c>
      <c r="B128" s="3" t="inlineStr">
        <is>
          <t>NOTE-01</t>
        </is>
      </c>
      <c r="C128" s="2" t="inlineStr">
        <is>
          <t>Public reply reaches the PSA and the client</t>
        </is>
      </c>
      <c r="D128" s="2" t="inlineStr">
        <is>
          <t>Post a public reply as staff.</t>
        </is>
      </c>
      <c r="E128" s="2" t="inlineStr">
        <is>
          <t>Appears in the PSA as a public note and is visible to the client user.</t>
        </is>
      </c>
      <c r="F128" s="2" t="inlineStr">
        <is>
          <t>PSA UI + client session.</t>
        </is>
      </c>
      <c r="G128" s="4" t="inlineStr">
        <is>
          <t>Not run</t>
        </is>
      </c>
      <c r="H128" s="4" t="inlineStr"/>
      <c r="I128" s="5" t="inlineStr"/>
      <c r="J128" s="4" t="inlineStr"/>
    </row>
    <row r="129">
      <c r="A129" s="2" t="inlineStr">
        <is>
          <t>12. Notes, Conversation and Recipients</t>
        </is>
      </c>
      <c r="B129" s="3" t="inlineStr">
        <is>
          <t>NOTE-02</t>
        </is>
      </c>
      <c r="C129" s="2" t="inlineStr">
        <is>
          <t>Internal note stays internal</t>
        </is>
      </c>
      <c r="D129" s="2" t="inlineStr">
        <is>
          <t>Post an internal note.</t>
        </is>
      </c>
      <c r="E129" s="2" t="inlineStr">
        <is>
          <t>Marked internal in the PSA, shown with the amber internal badge to staff, and absent from the client payload.</t>
        </is>
      </c>
      <c r="F129" s="2" t="inlineStr">
        <is>
          <t>Raw JSON in a client session - not just the UI.</t>
        </is>
      </c>
      <c r="G129" s="4" t="inlineStr">
        <is>
          <t>Not run</t>
        </is>
      </c>
      <c r="H129" s="4" t="inlineStr"/>
      <c r="I129" s="5" t="inlineStr"/>
      <c r="J129" s="4" t="inlineStr"/>
    </row>
    <row r="130">
      <c r="A130" s="2" t="inlineStr">
        <is>
          <t>12. Notes, Conversation and Recipients</t>
        </is>
      </c>
      <c r="B130" s="3" t="inlineStr">
        <is>
          <t>NOTE-03</t>
        </is>
      </c>
      <c r="C130" s="2" t="inlineStr">
        <is>
          <t>Autotask internal-only text is preserved</t>
        </is>
      </c>
      <c r="D130" s="2" t="inlineStr">
        <is>
          <t>In Autotask, create a time entry with text in Internal Notes only, then sync.</t>
        </is>
      </c>
      <c r="E130" s="2" t="inlineStr">
        <is>
          <t>The internal text is imported, not dropped, and a pointer-only summary such as 'See Internal Notes' is not duplicated.</t>
        </is>
      </c>
      <c r="F130" s="2" t="inlineStr">
        <is>
          <t>Portal thread vs Autotask.</t>
        </is>
      </c>
      <c r="G130" s="4" t="inlineStr">
        <is>
          <t>Not run</t>
        </is>
      </c>
      <c r="H130" s="4" t="inlineStr"/>
      <c r="I130" s="5" t="inlineStr"/>
      <c r="J130" s="4" t="inlineStr"/>
    </row>
    <row r="131">
      <c r="A131" s="2" t="inlineStr">
        <is>
          <t>12. Notes, Conversation and Recipients</t>
        </is>
      </c>
      <c r="B131" s="3" t="inlineStr">
        <is>
          <t>NOTE-04</t>
        </is>
      </c>
      <c r="C131" s="2" t="inlineStr">
        <is>
          <t>Note title is not duplicated into the body</t>
        </is>
      </c>
      <c r="D131" s="2" t="inlineStr">
        <is>
          <t>Post a long note to Autotask from the portal.</t>
        </is>
      </c>
      <c r="E131" s="2" t="inlineStr">
        <is>
          <t>Autotask shows it once. The title is truncated on a word boundary, not the first 250 characters of the body.</t>
        </is>
      </c>
      <c r="F131" s="2" t="inlineStr">
        <is>
          <t>Autotask UI. The symptom of the old bug was 'we sent one note but Autotask shows two'.</t>
        </is>
      </c>
      <c r="G131" s="4" t="inlineStr">
        <is>
          <t>Not run</t>
        </is>
      </c>
      <c r="H131" s="4" t="inlineStr"/>
      <c r="I131" s="5" t="inlineStr"/>
      <c r="J131" s="4" t="inlineStr"/>
    </row>
    <row r="132">
      <c r="A132" s="2" t="inlineStr">
        <is>
          <t>12. Notes, Conversation and Recipients</t>
        </is>
      </c>
      <c r="B132" s="3" t="inlineStr">
        <is>
          <t>NOTE-05</t>
        </is>
      </c>
      <c r="C132" s="2" t="inlineStr">
        <is>
          <t>To and Cc on a public reply</t>
        </is>
      </c>
      <c r="D132" s="2" t="inlineStr">
        <is>
          <t>GET /api/tickets/{id}/recipients, choose contacts, send.</t>
        </is>
      </c>
      <c r="E132" s="2" t="inlineStr">
        <is>
          <t>Only contacts belonging to that ticket's company are offered, and the email goes to the chosen recipients.</t>
        </is>
      </c>
      <c r="F132" s="2" t="inlineStr">
        <is>
          <t>API + PSA UI. Confirm no contact from another company can be selected.</t>
        </is>
      </c>
      <c r="G132" s="4" t="inlineStr">
        <is>
          <t>Not run</t>
        </is>
      </c>
      <c r="H132" s="4" t="inlineStr"/>
      <c r="I132" s="5" t="inlineStr"/>
      <c r="J132" s="4" t="inlineStr"/>
    </row>
    <row r="133">
      <c r="A133" s="2" t="inlineStr">
        <is>
          <t>12. Notes, Conversation and Recipients</t>
        </is>
      </c>
      <c r="B133" s="3" t="inlineStr">
        <is>
          <t>NOTE-06</t>
        </is>
      </c>
      <c r="C133" s="2" t="inlineStr">
        <is>
          <t>Recipient support degrades cleanly</t>
        </is>
      </c>
      <c r="D133" s="2" t="inlineStr">
        <is>
          <t>Send a public reply on an Autotask ticket.</t>
        </is>
      </c>
      <c r="E133" s="2" t="inlineStr">
        <is>
          <t>Autotask does not support note email recipients - the UI reflects that rather than silently dropping the selection.</t>
        </is>
      </c>
      <c r="F133" s="2" t="inlineStr">
        <is>
          <t>Browser.</t>
        </is>
      </c>
      <c r="G133" s="4" t="inlineStr">
        <is>
          <t>Not run</t>
        </is>
      </c>
      <c r="H133" s="4" t="inlineStr"/>
      <c r="I133" s="5" t="inlineStr"/>
      <c r="J133" s="4" t="inlineStr"/>
    </row>
    <row r="134">
      <c r="A134" s="2" t="inlineStr">
        <is>
          <t>12. Notes, Conversation and Recipients</t>
        </is>
      </c>
      <c r="B134" s="3" t="inlineStr">
        <is>
          <t>NOTE-07</t>
        </is>
      </c>
      <c r="C134" s="2" t="inlineStr">
        <is>
          <t>Conversation shows newest first with Show all</t>
        </is>
      </c>
      <c r="D134" s="2" t="inlineStr">
        <is>
          <t>Open a ticket with more than four notes.</t>
        </is>
      </c>
      <c r="E134" s="2" t="inlineStr">
        <is>
          <t>The four most recent show, newest first, with a Show all button revealing the rest.</t>
        </is>
      </c>
      <c r="F134" s="2" t="inlineStr">
        <is>
          <t>Browser.</t>
        </is>
      </c>
      <c r="G134" s="4" t="inlineStr">
        <is>
          <t>Not run</t>
        </is>
      </c>
      <c r="H134" s="4" t="inlineStr"/>
      <c r="I134" s="5" t="inlineStr"/>
      <c r="J134" s="4" t="inlineStr"/>
    </row>
    <row r="135">
      <c r="A135" s="2" t="inlineStr">
        <is>
          <t>12. Notes, Conversation and Recipients</t>
        </is>
      </c>
      <c r="B135" s="3" t="inlineStr">
        <is>
          <t>NOTE-08</t>
        </is>
      </c>
      <c r="C135" s="2" t="inlineStr">
        <is>
          <t>Note kinds are visually distinct</t>
        </is>
      </c>
      <c r="D135" s="2" t="inlineStr">
        <is>
          <t>View a thread with client, staff, internal and time-entry notes.</t>
        </is>
      </c>
      <c r="E135" s="2" t="inlineStr">
        <is>
          <t>Each kind is visually distinguishable.</t>
        </is>
      </c>
      <c r="F135" s="2" t="inlineStr">
        <is>
          <t>Browser.</t>
        </is>
      </c>
      <c r="G135" s="4" t="inlineStr">
        <is>
          <t>Not run</t>
        </is>
      </c>
      <c r="H135" s="4" t="inlineStr"/>
      <c r="I135" s="5" t="inlineStr"/>
      <c r="J135" s="4" t="inlineStr"/>
    </row>
    <row r="136">
      <c r="A136" s="2" t="inlineStr">
        <is>
          <t>12. Notes, Conversation and Recipients</t>
        </is>
      </c>
      <c r="B136" s="3" t="inlineStr">
        <is>
          <t>NOTE-09</t>
        </is>
      </c>
      <c r="C136" s="2" t="inlineStr">
        <is>
          <t>Time on a reply is linked to its note</t>
        </is>
      </c>
      <c r="D136" s="2" t="inlineStr">
        <is>
          <t>Send a reply with time logged in one action.</t>
        </is>
      </c>
      <c r="E136" s="2" t="inlineStr">
        <is>
          <t>The time entry is linked to that note (NoteId) and the staff thread shows the duration on the reply.</t>
        </is>
      </c>
      <c r="F136" s="2" t="inlineStr">
        <is>
          <t>SQL: select "NoteId" from ticket_time_entries order by "CreatedAt" desc limit 1.</t>
        </is>
      </c>
      <c r="G136" s="4" t="inlineStr">
        <is>
          <t>Not run</t>
        </is>
      </c>
      <c r="H136" s="4" t="inlineStr"/>
      <c r="I136" s="5" t="inlineStr"/>
      <c r="J136" s="4" t="inlineStr"/>
    </row>
    <row r="137">
      <c r="A137" s="2" t="inlineStr">
        <is>
          <t>12. Notes, Conversation and Recipients</t>
        </is>
      </c>
      <c r="B137" s="3" t="inlineStr">
        <is>
          <t>NOTE-10</t>
        </is>
      </c>
      <c r="C137" s="2" t="inlineStr">
        <is>
          <t>Note ordering and timestamps</t>
        </is>
      </c>
      <c r="D137" s="2" t="inlineStr">
        <is>
          <t>Compare the thread order with the PSA.</t>
        </is>
      </c>
      <c r="E137" s="2" t="inlineStr">
        <is>
          <t>Chronology matches; timestamps are the provider's, not the import time.</t>
        </is>
      </c>
      <c r="F137" s="2" t="inlineStr">
        <is>
          <t>Browser vs PSA UI.</t>
        </is>
      </c>
      <c r="G137" s="4" t="inlineStr">
        <is>
          <t>Not run</t>
        </is>
      </c>
      <c r="H137" s="4" t="inlineStr"/>
      <c r="I137" s="5" t="inlineStr"/>
      <c r="J137" s="4" t="inlineStr"/>
    </row>
    <row r="138">
      <c r="A138" s="2" t="inlineStr">
        <is>
          <t>13. Time Tracking</t>
        </is>
      </c>
      <c r="B138" s="3" t="inlineStr">
        <is>
          <t>TIME-01</t>
        </is>
      </c>
      <c r="C138" s="2" t="inlineStr">
        <is>
          <t>Log time on a ticket</t>
        </is>
      </c>
      <c r="D138" s="2" t="inlineStr">
        <is>
          <t>Time panel &gt; log 0.5h with notes, billable.</t>
        </is>
      </c>
      <c r="E138" s="2" t="inlineStr">
        <is>
          <t>Created in the PSA and listed in the portal with matching duration.</t>
        </is>
      </c>
      <c r="F138" s="2" t="inlineStr">
        <is>
          <t>PSA UI + portal panel.</t>
        </is>
      </c>
      <c r="G138" s="4" t="inlineStr">
        <is>
          <t>Not run</t>
        </is>
      </c>
      <c r="H138" s="4" t="inlineStr"/>
      <c r="I138" s="5" t="inlineStr"/>
      <c r="J138" s="4" t="inlineStr"/>
    </row>
    <row r="139">
      <c r="A139" s="2" t="inlineStr">
        <is>
          <t>13. Time Tracking</t>
        </is>
      </c>
      <c r="B139" s="3" t="inlineStr">
        <is>
          <t>TIME-02</t>
        </is>
      </c>
      <c r="C139" s="2" t="inlineStr">
        <is>
          <t>Fractional hours are accepted</t>
        </is>
      </c>
      <c r="D139" s="2" t="inlineStr">
        <is>
          <t>Log 0.25h and 0.30h (18 minutes).</t>
        </is>
      </c>
      <c r="E139" s="2" t="inlineStr">
        <is>
          <t>Both accepted. The input step must not block them.</t>
        </is>
      </c>
      <c r="F139" s="2" t="inlineStr">
        <is>
          <t>Browser. An HTML step of 0.25 silently blocked 18-minute entries.</t>
        </is>
      </c>
      <c r="G139" s="4" t="inlineStr">
        <is>
          <t>Not run</t>
        </is>
      </c>
      <c r="H139" s="4" t="inlineStr"/>
      <c r="I139" s="5" t="inlineStr"/>
      <c r="J139" s="4" t="inlineStr"/>
    </row>
    <row r="140">
      <c r="A140" s="2" t="inlineStr">
        <is>
          <t>13. Time Tracking</t>
        </is>
      </c>
      <c r="B140" s="3" t="inlineStr">
        <is>
          <t>TIME-03</t>
        </is>
      </c>
      <c r="C140" s="2" t="inlineStr">
        <is>
          <t>Autotask requires summary notes</t>
        </is>
      </c>
      <c r="D140" s="2" t="inlineStr">
        <is>
          <t>Attempt to log time on Autotask with an empty note.</t>
        </is>
      </c>
      <c r="E140" s="2" t="inlineStr">
        <is>
          <t>The UI marks Notes required and blocks submit. If a blank still arrives, a factual placeholder is sent rather than losing the time.</t>
        </is>
      </c>
      <c r="F140" s="2" t="inlineStr">
        <is>
          <t>Browser + PSA UI.</t>
        </is>
      </c>
      <c r="G140" s="4" t="inlineStr">
        <is>
          <t>Not run</t>
        </is>
      </c>
      <c r="H140" s="4" t="inlineStr"/>
      <c r="I140" s="5" t="inlineStr"/>
      <c r="J140" s="4" t="inlineStr"/>
    </row>
    <row r="141">
      <c r="A141" s="2" t="inlineStr">
        <is>
          <t>13. Time Tracking</t>
        </is>
      </c>
      <c r="B141" s="3" t="inlineStr">
        <is>
          <t>TIME-04</t>
        </is>
      </c>
      <c r="C141" s="2" t="inlineStr">
        <is>
          <t>Resource and role pairing</t>
        </is>
      </c>
      <c r="D141" s="2" t="inlineStr">
        <is>
          <t>Configure a technician and a role that the technician does NOT hold, then log time.</t>
        </is>
      </c>
      <c r="E141" s="2" t="inlineStr">
        <is>
          <t>The connector uses a role the technician actually holds rather than failing; if they hold none, a clear setup error is returned.</t>
        </is>
      </c>
      <c r="F141" s="2" t="inlineStr">
        <is>
          <t>PSA UI + API message.</t>
        </is>
      </c>
      <c r="G141" s="4" t="inlineStr">
        <is>
          <t>Not run</t>
        </is>
      </c>
      <c r="H141" s="4" t="inlineStr"/>
      <c r="I141" s="5" t="inlineStr"/>
      <c r="J141" s="4" t="inlineStr"/>
    </row>
    <row r="142">
      <c r="A142" s="2" t="inlineStr">
        <is>
          <t>13. Time Tracking</t>
        </is>
      </c>
      <c r="B142" s="3" t="inlineStr">
        <is>
          <t>TIME-05</t>
        </is>
      </c>
      <c r="C142" s="2" t="inlineStr">
        <is>
          <t>Missing time-entry resource is explained</t>
        </is>
      </c>
      <c r="D142" s="2" t="inlineStr">
        <is>
          <t>Clear DefaultTimeEntryResourceId on an Autotask connection and log time.</t>
        </is>
      </c>
      <c r="E142" s="2" t="inlineStr">
        <is>
          <t>A clear message telling the admin where to set it - not a raw 500.</t>
        </is>
      </c>
      <c r="F142" s="2" t="inlineStr">
        <is>
          <t>Browser.</t>
        </is>
      </c>
      <c r="G142" s="4" t="inlineStr">
        <is>
          <t>Not run</t>
        </is>
      </c>
      <c r="H142" s="4" t="inlineStr"/>
      <c r="I142" s="5" t="inlineStr"/>
      <c r="J142" s="4" t="inlineStr"/>
    </row>
    <row r="143">
      <c r="A143" s="2" t="inlineStr">
        <is>
          <t>13. Time Tracking</t>
        </is>
      </c>
      <c r="B143" s="3" t="inlineStr">
        <is>
          <t>TIME-06</t>
        </is>
      </c>
      <c r="C143" s="2" t="inlineStr">
        <is>
          <t>Retry surfaces the current error</t>
        </is>
      </c>
      <c r="D143" s="2" t="inlineStr">
        <is>
          <t>Fail a time entry, fix the configuration, then retry via POST /api/tickets/{id}/time/{entryId}/retry.</t>
        </is>
      </c>
      <c r="E143" s="2" t="inlineStr">
        <is>
          <t>The message shown is from THIS attempt. A stale error from the first failure is a defect.</t>
        </is>
      </c>
      <c r="F143" s="2" t="inlineStr">
        <is>
          <t>Compare the row's UpdatedAt with the retry time.</t>
        </is>
      </c>
      <c r="G143" s="4" t="inlineStr">
        <is>
          <t>Not run</t>
        </is>
      </c>
      <c r="H143" s="4" t="inlineStr"/>
      <c r="I143" s="5" t="inlineStr"/>
      <c r="J143" s="4" t="inlineStr"/>
    </row>
    <row r="144">
      <c r="A144" s="2" t="inlineStr">
        <is>
          <t>13. Time Tracking</t>
        </is>
      </c>
      <c r="B144" s="3" t="inlineStr">
        <is>
          <t>TIME-07</t>
        </is>
      </c>
      <c r="C144" s="2" t="inlineStr">
        <is>
          <t>Edit a time entry</t>
        </is>
      </c>
      <c r="D144" s="2" t="inlineStr">
        <is>
          <t>PUT /api/tickets/{id}/time/{entryId}.</t>
        </is>
      </c>
      <c r="E144" s="2" t="inlineStr">
        <is>
          <t>The PSA entry updates and the portal aggregate is RECOMPUTED from the PSA, not adjusted locally.</t>
        </is>
      </c>
      <c r="F144" s="2" t="inlineStr">
        <is>
          <t>PSA UI + portal totals.</t>
        </is>
      </c>
      <c r="G144" s="4" t="inlineStr">
        <is>
          <t>Not run</t>
        </is>
      </c>
      <c r="H144" s="4" t="inlineStr"/>
      <c r="I144" s="5" t="inlineStr"/>
      <c r="J144" s="4" t="inlineStr"/>
    </row>
    <row r="145">
      <c r="A145" s="2" t="inlineStr">
        <is>
          <t>13. Time Tracking</t>
        </is>
      </c>
      <c r="B145" s="3" t="inlineStr">
        <is>
          <t>TIME-08</t>
        </is>
      </c>
      <c r="C145" s="2" t="inlineStr">
        <is>
          <t>Delete a time entry</t>
        </is>
      </c>
      <c r="D145" s="2" t="inlineStr">
        <is>
          <t>DELETE /api/tickets/{id}/time/{entryId}.</t>
        </is>
      </c>
      <c r="E145" s="2" t="inlineStr">
        <is>
          <t>Removed in the PSA and the aggregate recomputed.</t>
        </is>
      </c>
      <c r="F145" s="2" t="inlineStr">
        <is>
          <t>PSA UI + portal totals.</t>
        </is>
      </c>
      <c r="G145" s="4" t="inlineStr">
        <is>
          <t>Not run</t>
        </is>
      </c>
      <c r="H145" s="4" t="inlineStr"/>
      <c r="I145" s="5" t="inlineStr"/>
      <c r="J145" s="4" t="inlineStr"/>
    </row>
    <row r="146">
      <c r="A146" s="2" t="inlineStr">
        <is>
          <t>13. Time Tracking</t>
        </is>
      </c>
      <c r="B146" s="3" t="inlineStr">
        <is>
          <t>TIME-09</t>
        </is>
      </c>
      <c r="C146" s="2" t="inlineStr">
        <is>
          <t>Work type and role options</t>
        </is>
      </c>
      <c r="D146" s="2" t="inlineStr">
        <is>
          <t>GET /api/tickets/{id}/time-options.</t>
        </is>
      </c>
      <c r="E146" s="2" t="inlineStr">
        <is>
          <t>Only work types and roles valid for this connection and technician are offered.</t>
        </is>
      </c>
      <c r="F146" s="2" t="inlineStr">
        <is>
          <t>API.</t>
        </is>
      </c>
      <c r="G146" s="4" t="inlineStr">
        <is>
          <t>Not run</t>
        </is>
      </c>
      <c r="H146" s="4" t="inlineStr"/>
      <c r="I146" s="5" t="inlineStr"/>
      <c r="J146" s="4" t="inlineStr"/>
    </row>
    <row r="147">
      <c r="A147" s="2" t="inlineStr">
        <is>
          <t>13. Time Tracking</t>
        </is>
      </c>
      <c r="B147" s="3" t="inlineStr">
        <is>
          <t>TIME-10</t>
        </is>
      </c>
      <c r="C147" s="2" t="inlineStr">
        <is>
          <t>Global timer</t>
        </is>
      </c>
      <c r="D147" s="2" t="inlineStr">
        <is>
          <t>Start the header timer, attach it to a ticket, navigate away, return, then log it.</t>
        </is>
      </c>
      <c r="E147" s="2" t="inlineStr">
        <is>
          <t>The timer survives navigation and a page reload, and logs the elapsed time.</t>
        </is>
      </c>
      <c r="F147" s="2" t="inlineStr">
        <is>
          <t>Browser (state is persisted in localStorage).</t>
        </is>
      </c>
      <c r="G147" s="4" t="inlineStr">
        <is>
          <t>Not run</t>
        </is>
      </c>
      <c r="H147" s="4" t="inlineStr"/>
      <c r="I147" s="5" t="inlineStr"/>
      <c r="J147" s="4" t="inlineStr"/>
    </row>
    <row r="148">
      <c r="A148" s="2" t="inlineStr">
        <is>
          <t>13. Time Tracking</t>
        </is>
      </c>
      <c r="B148" s="3" t="inlineStr">
        <is>
          <t>TIME-11</t>
        </is>
      </c>
      <c r="C148" s="2" t="inlineStr">
        <is>
          <t>Time logged in the PSA reaches the portal</t>
        </is>
      </c>
      <c r="D148" s="2" t="inlineStr">
        <is>
          <t>Add a time entry directly in the PSA, then sync.</t>
        </is>
      </c>
      <c r="E148" s="2" t="inlineStr">
        <is>
          <t>Portal totals update. Time refresh is keyed off the ticket being FETCHED, not off the upsert reporting a change - a time entry changes no hashed field.</t>
        </is>
      </c>
      <c r="F148" s="2" t="inlineStr">
        <is>
          <t>Portal totals + SQL.</t>
        </is>
      </c>
      <c r="G148" s="4" t="inlineStr">
        <is>
          <t>Not run</t>
        </is>
      </c>
      <c r="H148" s="4" t="inlineStr"/>
      <c r="I148" s="5" t="inlineStr"/>
      <c r="J148" s="4" t="inlineStr"/>
    </row>
    <row r="149">
      <c r="A149" s="2" t="inlineStr">
        <is>
          <t>13. Time Tracking</t>
        </is>
      </c>
      <c r="B149" s="3" t="inlineStr">
        <is>
          <t>TIME-12</t>
        </is>
      </c>
      <c r="C149" s="2" t="inlineStr">
        <is>
          <t>Client never sees time</t>
        </is>
      </c>
      <c r="D149" s="2" t="inlineStr">
        <is>
          <t>View a ticket with time entries as a client user.</t>
        </is>
      </c>
      <c r="E149" s="2" t="inlineStr">
        <is>
          <t>No time data in the payload at all.</t>
        </is>
      </c>
      <c r="F149" s="2" t="inlineStr">
        <is>
          <t>Raw JSON.</t>
        </is>
      </c>
      <c r="G149" s="4" t="inlineStr">
        <is>
          <t>Not run</t>
        </is>
      </c>
      <c r="H149" s="4" t="inlineStr"/>
      <c r="I149" s="5" t="inlineStr"/>
      <c r="J149" s="4" t="inlineStr"/>
    </row>
    <row r="150">
      <c r="A150" s="2" t="inlineStr">
        <is>
          <t>13. Time Tracking</t>
        </is>
      </c>
      <c r="B150" s="3" t="inlineStr">
        <is>
          <t>TIME-13</t>
        </is>
      </c>
      <c r="C150" s="2" t="inlineStr">
        <is>
          <t>Permission gating</t>
        </is>
      </c>
      <c r="D150" s="2" t="inlineStr">
        <is>
          <t>Attempt to log time as a role without tickets.time.log.</t>
        </is>
      </c>
      <c r="E150" s="2" t="inlineStr">
        <is>
          <t>Refused, and the panel is not offered.</t>
        </is>
      </c>
      <c r="F150" s="2" t="inlineStr">
        <is>
          <t>Browser + API 403.</t>
        </is>
      </c>
      <c r="G150" s="4" t="inlineStr">
        <is>
          <t>Not run</t>
        </is>
      </c>
      <c r="H150" s="4" t="inlineStr"/>
      <c r="I150" s="5" t="inlineStr"/>
      <c r="J150" s="4" t="inlineStr"/>
    </row>
    <row r="151">
      <c r="A151" s="2" t="inlineStr">
        <is>
          <t>13. Time Tracking</t>
        </is>
      </c>
      <c r="B151" s="3" t="inlineStr">
        <is>
          <t>TIME-14</t>
        </is>
      </c>
      <c r="C151" s="2" t="inlineStr">
        <is>
          <t>Billable flag round trip</t>
        </is>
      </c>
      <c r="D151" s="2" t="inlineStr">
        <is>
          <t>Log billable and non-billable entries.</t>
        </is>
      </c>
      <c r="E151" s="2" t="inlineStr">
        <is>
          <t>Both are reflected correctly in the PSA.</t>
        </is>
      </c>
      <c r="F151" s="2" t="inlineStr">
        <is>
          <t>PSA UI.</t>
        </is>
      </c>
      <c r="G151" s="4" t="inlineStr">
        <is>
          <t>Not run</t>
        </is>
      </c>
      <c r="H151" s="4" t="inlineStr"/>
      <c r="I151" s="5" t="inlineStr"/>
      <c r="J151" s="4" t="inlineStr"/>
    </row>
    <row r="152">
      <c r="A152" s="2" t="inlineStr">
        <is>
          <t>14. Attachments</t>
        </is>
      </c>
      <c r="B152" s="3" t="inlineStr">
        <is>
          <t>ATT-01</t>
        </is>
      </c>
      <c r="C152" s="2" t="inlineStr">
        <is>
          <t>Staff upload</t>
        </is>
      </c>
      <c r="D152" s="2" t="inlineStr">
        <is>
          <t>Attach a file to a ticket from the dashboard.</t>
        </is>
      </c>
      <c r="E152" s="2" t="inlineStr">
        <is>
          <t>Uploads successfully and appears in the list.</t>
        </is>
      </c>
      <c r="F152" s="2" t="inlineStr">
        <is>
          <t>Browser. The staff path was once client-only and every staff attach failed with 'Couldn't send'.</t>
        </is>
      </c>
      <c r="G152" s="4" t="inlineStr">
        <is>
          <t>Not run</t>
        </is>
      </c>
      <c r="H152" s="4" t="inlineStr"/>
      <c r="I152" s="5" t="inlineStr"/>
      <c r="J152" s="4" t="inlineStr"/>
    </row>
    <row r="153">
      <c r="A153" s="2" t="inlineStr">
        <is>
          <t>14. Attachments</t>
        </is>
      </c>
      <c r="B153" s="3" t="inlineStr">
        <is>
          <t>ATT-02</t>
        </is>
      </c>
      <c r="C153" s="2" t="inlineStr">
        <is>
          <t>Client upload</t>
        </is>
      </c>
      <c r="D153" s="2" t="inlineStr">
        <is>
          <t>Attach a file as a client user.</t>
        </is>
      </c>
      <c r="E153" s="2" t="inlineStr">
        <is>
          <t>Uploads and is visible to staff.</t>
        </is>
      </c>
      <c r="F153" s="2" t="inlineStr">
        <is>
          <t>Browser (both sessions).</t>
        </is>
      </c>
      <c r="G153" s="4" t="inlineStr">
        <is>
          <t>Not run</t>
        </is>
      </c>
      <c r="H153" s="4" t="inlineStr"/>
      <c r="I153" s="5" t="inlineStr"/>
      <c r="J153" s="4" t="inlineStr"/>
    </row>
    <row r="154">
      <c r="A154" s="2" t="inlineStr">
        <is>
          <t>14. Attachments</t>
        </is>
      </c>
      <c r="B154" s="3" t="inlineStr">
        <is>
          <t>ATT-03</t>
        </is>
      </c>
      <c r="C154" s="2" t="inlineStr">
        <is>
          <t>Download via signed URL</t>
        </is>
      </c>
      <c r="D154" s="2" t="inlineStr">
        <is>
          <t>Request a download URL, then fetch the blob.</t>
        </is>
      </c>
      <c r="E154" s="2" t="inlineStr">
        <is>
          <t>The file downloads; the URL is time-limited and cannot be reused after expiry.</t>
        </is>
      </c>
      <c r="F154" s="2" t="inlineStr">
        <is>
          <t>API + curl after the expiry window.</t>
        </is>
      </c>
      <c r="G154" s="4" t="inlineStr">
        <is>
          <t>Not run</t>
        </is>
      </c>
      <c r="H154" s="4" t="inlineStr"/>
      <c r="I154" s="5" t="inlineStr"/>
      <c r="J154" s="4" t="inlineStr"/>
    </row>
    <row r="155">
      <c r="A155" s="2" t="inlineStr">
        <is>
          <t>14. Attachments</t>
        </is>
      </c>
      <c r="B155" s="3" t="inlineStr">
        <is>
          <t>ATT-04</t>
        </is>
      </c>
      <c r="C155" s="2" t="inlineStr">
        <is>
          <t>Oversized file is refused</t>
        </is>
      </c>
      <c r="D155" s="2" t="inlineStr">
        <is>
          <t>Upload a file above the configured limit.</t>
        </is>
      </c>
      <c r="E155" s="2" t="inlineStr">
        <is>
          <t>Refused with a clear message.</t>
        </is>
      </c>
      <c r="F155" s="2" t="inlineStr">
        <is>
          <t>Browser.</t>
        </is>
      </c>
      <c r="G155" s="4" t="inlineStr">
        <is>
          <t>Not run</t>
        </is>
      </c>
      <c r="H155" s="4" t="inlineStr"/>
      <c r="I155" s="5" t="inlineStr"/>
      <c r="J155" s="4" t="inlineStr"/>
    </row>
    <row r="156">
      <c r="A156" s="2" t="inlineStr">
        <is>
          <t>14. Attachments</t>
        </is>
      </c>
      <c r="B156" s="3" t="inlineStr">
        <is>
          <t>ATT-05</t>
        </is>
      </c>
      <c r="C156" s="2" t="inlineStr">
        <is>
          <t>Quarantined file cannot be downloaded</t>
        </is>
      </c>
      <c r="D156" s="2" t="inlineStr">
        <is>
          <t>Upload the EICAR string, then attempt to download it.</t>
        </is>
      </c>
      <c r="E156" s="2" t="inlineStr">
        <is>
          <t>Blocked and badged as quarantined.</t>
        </is>
      </c>
      <c r="F156" s="2" t="inlineStr">
        <is>
          <t>Browser + SQL.</t>
        </is>
      </c>
      <c r="G156" s="4" t="inlineStr">
        <is>
          <t>Not run</t>
        </is>
      </c>
      <c r="H156" s="4" t="inlineStr"/>
      <c r="I156" s="5" t="inlineStr"/>
      <c r="J156" s="4" t="inlineStr"/>
    </row>
    <row r="157">
      <c r="A157" s="2" t="inlineStr">
        <is>
          <t>14. Attachments</t>
        </is>
      </c>
      <c r="B157" s="3" t="inlineStr">
        <is>
          <t>ATT-06</t>
        </is>
      </c>
      <c r="C157" s="2" t="inlineStr">
        <is>
          <t>PSA attachment sweep</t>
        </is>
      </c>
      <c r="D157" s="2" t="inlineStr">
        <is>
          <t>Add an attachment in the PSA to a ticket nobody has touched, then sync.</t>
        </is>
      </c>
      <c r="E157" s="2" t="inlineStr">
        <is>
          <t>It is imported by the dated sweep where the provider supports one (ConnectWise indexes documents per record and falls back to per-ticket).</t>
        </is>
      </c>
      <c r="F157" s="2" t="inlineStr">
        <is>
          <t>Portal + worker log.</t>
        </is>
      </c>
      <c r="G157" s="4" t="inlineStr">
        <is>
          <t>Not run</t>
        </is>
      </c>
      <c r="H157" s="4" t="inlineStr"/>
      <c r="I157" s="5" t="inlineStr"/>
      <c r="J157" s="4" t="inlineStr"/>
    </row>
    <row r="158">
      <c r="A158" s="2" t="inlineStr">
        <is>
          <t>14. Attachments</t>
        </is>
      </c>
      <c r="B158" s="3" t="inlineStr">
        <is>
          <t>ATT-07</t>
        </is>
      </c>
      <c r="C158" s="2" t="inlineStr">
        <is>
          <t>Deletion reconciliation</t>
        </is>
      </c>
      <c r="D158" s="2" t="inlineStr">
        <is>
          <t>Delete an attachment in the PSA and sync.</t>
        </is>
      </c>
      <c r="E158" s="2" t="inlineStr">
        <is>
          <t>It is removed from the portal.</t>
        </is>
      </c>
      <c r="F158" s="2" t="inlineStr">
        <is>
          <t>SQL on attachments.</t>
        </is>
      </c>
      <c r="G158" s="4" t="inlineStr">
        <is>
          <t>Not run</t>
        </is>
      </c>
      <c r="H158" s="4" t="inlineStr"/>
      <c r="I158" s="5" t="inlineStr"/>
      <c r="J158" s="4" t="inlineStr"/>
    </row>
    <row r="159">
      <c r="A159" s="2" t="inlineStr">
        <is>
          <t>14. Attachments</t>
        </is>
      </c>
      <c r="B159" s="3" t="inlineStr">
        <is>
          <t>ATT-08</t>
        </is>
      </c>
      <c r="C159" s="2" t="inlineStr">
        <is>
          <t>Multipart upload to Autotask</t>
        </is>
      </c>
      <c r="D159" s="2" t="inlineStr">
        <is>
          <t>Attach a file that must be pushed to Autotask.</t>
        </is>
      </c>
      <c r="E159" s="2" t="inlineStr">
        <is>
          <t>Sent as multipart, not JSON (the real API rejects JSON with 415).</t>
        </is>
      </c>
      <c r="F159" s="2" t="inlineStr">
        <is>
          <t>Worker log + PSA UI.</t>
        </is>
      </c>
      <c r="G159" s="4" t="inlineStr">
        <is>
          <t>Not run</t>
        </is>
      </c>
      <c r="H159" s="4" t="inlineStr"/>
      <c r="I159" s="5" t="inlineStr"/>
      <c r="J159" s="4" t="inlineStr"/>
    </row>
    <row r="160">
      <c r="A160" s="2" t="inlineStr">
        <is>
          <t>15. Productivity and Analytics</t>
        </is>
      </c>
      <c r="B160" s="3" t="inlineStr">
        <is>
          <t>ANA-01</t>
        </is>
      </c>
      <c r="C160" s="2" t="inlineStr">
        <is>
          <t>Technician metrics</t>
        </is>
      </c>
      <c r="D160" s="2" t="inlineStr">
        <is>
          <t>GET /api/dashboard/technician for a technician with known ticket history.</t>
        </is>
      </c>
      <c r="E160" s="2" t="inlineStr">
        <is>
          <t>Counts, SLA percentage, average resolution and logged time match SQL.</t>
        </is>
      </c>
      <c r="F160" s="2" t="inlineStr">
        <is>
          <t>API + SQL.</t>
        </is>
      </c>
      <c r="G160" s="4" t="inlineStr">
        <is>
          <t>Not run</t>
        </is>
      </c>
      <c r="H160" s="4" t="inlineStr"/>
      <c r="I160" s="5" t="inlineStr"/>
      <c r="J160" s="4" t="inlineStr"/>
    </row>
    <row r="161">
      <c r="A161" s="2" t="inlineStr">
        <is>
          <t>15. Productivity and Analytics</t>
        </is>
      </c>
      <c r="B161" s="3" t="inlineStr">
        <is>
          <t>ANA-02</t>
        </is>
      </c>
      <c r="C161" s="2" t="inlineStr">
        <is>
          <t>Score renormalises over measured components</t>
        </is>
      </c>
      <c r="D161" s="2" t="inlineStr">
        <is>
          <t>Inspect the productivity breakdown for a technician with no CSAT data.</t>
        </is>
      </c>
      <c r="E161" s="2" t="inlineStr">
        <is>
          <t>Unmeasured components are EXCLUDED rather than scored as zero, and the coverage fraction is reported.</t>
        </is>
      </c>
      <c r="F161" s="2" t="inlineStr">
        <is>
          <t>API response. A score computed over missing data is worse than no score.</t>
        </is>
      </c>
      <c r="G161" s="4" t="inlineStr">
        <is>
          <t>Not run</t>
        </is>
      </c>
      <c r="H161" s="4" t="inlineStr"/>
      <c r="I161" s="5" t="inlineStr"/>
      <c r="J161" s="4" t="inlineStr"/>
    </row>
    <row r="162">
      <c r="A162" s="2" t="inlineStr">
        <is>
          <t>15. Productivity and Analytics</t>
        </is>
      </c>
      <c r="B162" s="3" t="inlineStr">
        <is>
          <t>ANA-03</t>
        </is>
      </c>
      <c r="C162" s="2" t="inlineStr">
        <is>
          <t>Disclaimer is always present</t>
        </is>
      </c>
      <c r="D162" s="2" t="inlineStr">
        <is>
          <t>Call every dashboard endpoint.</t>
        </is>
      </c>
      <c r="E162" s="2" t="inlineStr">
        <is>
          <t>Each response carries the measurement disclaimer.</t>
        </is>
      </c>
      <c r="F162" s="2" t="inlineStr">
        <is>
          <t>Raw JSON.</t>
        </is>
      </c>
      <c r="G162" s="4" t="inlineStr">
        <is>
          <t>Not run</t>
        </is>
      </c>
      <c r="H162" s="4" t="inlineStr"/>
      <c r="I162" s="5" t="inlineStr"/>
      <c r="J162" s="4" t="inlineStr"/>
    </row>
    <row r="163">
      <c r="A163" s="2" t="inlineStr">
        <is>
          <t>15. Productivity and Analytics</t>
        </is>
      </c>
      <c r="B163" s="3" t="inlineStr">
        <is>
          <t>ANA-04</t>
        </is>
      </c>
      <c r="C163" s="2" t="inlineStr">
        <is>
          <t>Team view and export</t>
        </is>
      </c>
      <c r="D163" s="2" t="inlineStr">
        <is>
          <t>GET /api/dashboard/team then /team/export.</t>
        </is>
      </c>
      <c r="E163" s="2" t="inlineStr">
        <is>
          <t>The CSV matches the on-screen table exactly, including the header row.</t>
        </is>
      </c>
      <c r="F163" s="2" t="inlineStr">
        <is>
          <t>Download and diff.</t>
        </is>
      </c>
      <c r="G163" s="4" t="inlineStr">
        <is>
          <t>Not run</t>
        </is>
      </c>
      <c r="H163" s="4" t="inlineStr"/>
      <c r="I163" s="5" t="inlineStr"/>
      <c r="J163" s="4" t="inlineStr"/>
    </row>
    <row r="164">
      <c r="A164" s="2" t="inlineStr">
        <is>
          <t>15. Productivity and Analytics</t>
        </is>
      </c>
      <c r="B164" s="3" t="inlineStr">
        <is>
          <t>ANA-05</t>
        </is>
      </c>
      <c r="C164" s="2" t="inlineStr">
        <is>
          <t>Trend</t>
        </is>
      </c>
      <c r="D164" s="2" t="inlineStr">
        <is>
          <t>GET /api/dashboard/trend over a range spanning a data gap.</t>
        </is>
      </c>
      <c r="E164" s="2" t="inlineStr">
        <is>
          <t>Gaps are visible as gaps, not interpolated to zero.</t>
        </is>
      </c>
      <c r="F164" s="2" t="inlineStr">
        <is>
          <t>API + chart.</t>
        </is>
      </c>
      <c r="G164" s="4" t="inlineStr">
        <is>
          <t>Not run</t>
        </is>
      </c>
      <c r="H164" s="4" t="inlineStr"/>
      <c r="I164" s="5" t="inlineStr"/>
      <c r="J164" s="4" t="inlineStr"/>
    </row>
    <row r="165">
      <c r="A165" s="2" t="inlineStr">
        <is>
          <t>15. Productivity and Analytics</t>
        </is>
      </c>
      <c r="B165" s="3" t="inlineStr">
        <is>
          <t>ANA-06</t>
        </is>
      </c>
      <c r="C165" s="2" t="inlineStr">
        <is>
          <t>Client workload ranking</t>
        </is>
      </c>
      <c r="D165" s="2" t="inlineStr">
        <is>
          <t>Open /dashboard/analytics/clients.</t>
        </is>
      </c>
      <c r="E165" s="2" t="inlineStr">
        <is>
          <t>Clients ranked by hours; sample size shown; unclosable tickets excluded from averages.</t>
        </is>
      </c>
      <c r="F165" s="2" t="inlineStr">
        <is>
          <t>Browser + SQL.</t>
        </is>
      </c>
      <c r="G165" s="4" t="inlineStr">
        <is>
          <t>Not run</t>
        </is>
      </c>
      <c r="H165" s="4" t="inlineStr"/>
      <c r="I165" s="5" t="inlineStr"/>
      <c r="J165" s="4" t="inlineStr"/>
    </row>
    <row r="166">
      <c r="A166" s="2" t="inlineStr">
        <is>
          <t>15. Productivity and Analytics</t>
        </is>
      </c>
      <c r="B166" s="3" t="inlineStr">
        <is>
          <t>ANA-07</t>
        </is>
      </c>
      <c r="C166" s="2" t="inlineStr">
        <is>
          <t>SLA percentage with no eligible tickets</t>
        </is>
      </c>
      <c r="D166" s="2" t="inlineStr">
        <is>
          <t>View a client with zero SLA-eligible tickets.</t>
        </is>
      </c>
      <c r="E166" s="2" t="inlineStr">
        <is>
          <t>Shows null / not applicable - never 100 percent.</t>
        </is>
      </c>
      <c r="F166" s="2" t="inlineStr">
        <is>
          <t>Browser.</t>
        </is>
      </c>
      <c r="G166" s="4" t="inlineStr">
        <is>
          <t>Not run</t>
        </is>
      </c>
      <c r="H166" s="4" t="inlineStr"/>
      <c r="I166" s="5" t="inlineStr"/>
      <c r="J166" s="4" t="inlineStr"/>
    </row>
    <row r="167">
      <c r="A167" s="2" t="inlineStr">
        <is>
          <t>15. Productivity and Analytics</t>
        </is>
      </c>
      <c r="B167" s="3" t="inlineStr">
        <is>
          <t>ANA-08</t>
        </is>
      </c>
      <c r="C167" s="2" t="inlineStr">
        <is>
          <t>Portal versus PSA coverage</t>
        </is>
      </c>
      <c r="D167" s="2" t="inlineStr">
        <is>
          <t>Open /dashboard/analytics/coverage.</t>
        </is>
      </c>
      <c r="E167" s="2" t="inlineStr">
        <is>
          <t>Coverage percentage plus ticket and day corroboration, and a flag when the range starts before activity recording began.</t>
        </is>
      </c>
      <c r="F167" s="2" t="inlineStr">
        <is>
          <t>Browser. Without that flag the early period looks like poor adoption rather than no data.</t>
        </is>
      </c>
      <c r="G167" s="4" t="inlineStr">
        <is>
          <t>Not run</t>
        </is>
      </c>
      <c r="H167" s="4" t="inlineStr"/>
      <c r="I167" s="5" t="inlineStr"/>
      <c r="J167" s="4" t="inlineStr"/>
    </row>
    <row r="168">
      <c r="A168" s="2" t="inlineStr">
        <is>
          <t>15. Productivity and Analytics</t>
        </is>
      </c>
      <c r="B168" s="3" t="inlineStr">
        <is>
          <t>ANA-09</t>
        </is>
      </c>
      <c r="C168" s="2" t="inlineStr">
        <is>
          <t>Own versus team scope</t>
        </is>
      </c>
      <c r="D168" s="2" t="inlineStr">
        <is>
          <t>View analytics as a Technician (productivity.own.view) and as a Manager (productivity.team.view).</t>
        </is>
      </c>
      <c r="E168" s="2" t="inlineStr">
        <is>
          <t>The technician sees only themselves.</t>
        </is>
      </c>
      <c r="F168" s="2" t="inlineStr">
        <is>
          <t>Browser.</t>
        </is>
      </c>
      <c r="G168" s="4" t="inlineStr">
        <is>
          <t>Not run</t>
        </is>
      </c>
      <c r="H168" s="4" t="inlineStr"/>
      <c r="I168" s="5" t="inlineStr"/>
      <c r="J168" s="4" t="inlineStr"/>
    </row>
    <row r="169">
      <c r="A169" s="2" t="inlineStr">
        <is>
          <t>15. Productivity and Analytics</t>
        </is>
      </c>
      <c r="B169" s="3" t="inlineStr">
        <is>
          <t>ANA-10</t>
        </is>
      </c>
      <c r="C169" s="2" t="inlineStr">
        <is>
          <t>Analytics reflect the full ticket set</t>
        </is>
      </c>
      <c r="D169" s="2" t="inlineStr">
        <is>
          <t>Compare the ticket count behind analytics with the PSA's own count.</t>
        </is>
      </c>
      <c r="E169" s="2" t="inlineStr">
        <is>
          <t>They match. Analytics computed over a truncated import were wrong for months before pagination was fixed.</t>
        </is>
      </c>
      <c r="F169" s="2" t="inlineStr">
        <is>
          <t>SQL vs PSA.</t>
        </is>
      </c>
      <c r="G169" s="4" t="inlineStr">
        <is>
          <t>Not run</t>
        </is>
      </c>
      <c r="H169" s="4" t="inlineStr"/>
      <c r="I169" s="5" t="inlineStr"/>
      <c r="J169" s="4" t="inlineStr"/>
    </row>
    <row r="170">
      <c r="A170" s="2" t="inlineStr">
        <is>
          <t>15. Productivity and Analytics</t>
        </is>
      </c>
      <c r="B170" s="3" t="inlineStr">
        <is>
          <t>ANA-11</t>
        </is>
      </c>
      <c r="C170" s="2" t="inlineStr">
        <is>
          <t>Ticket-derived metrics recompute on read</t>
        </is>
      </c>
      <c r="D170" s="2" t="inlineStr">
        <is>
          <t>Import more tickets, then reload analytics without any rollup running.</t>
        </is>
      </c>
      <c r="E170" s="2" t="inlineStr">
        <is>
          <t>Client workload and technician metrics already reflect the new data.</t>
        </is>
      </c>
      <c r="F170" s="2" t="inlineStr">
        <is>
          <t>Browser.</t>
        </is>
      </c>
      <c r="G170" s="4" t="inlineStr">
        <is>
          <t>Not run</t>
        </is>
      </c>
      <c r="H170" s="4" t="inlineStr"/>
      <c r="I170" s="5" t="inlineStr"/>
      <c r="J170" s="4" t="inlineStr"/>
    </row>
    <row r="171">
      <c r="A171" s="2" t="inlineStr">
        <is>
          <t>15. Productivity and Analytics</t>
        </is>
      </c>
      <c r="B171" s="3" t="inlineStr">
        <is>
          <t>ANA-12</t>
        </is>
      </c>
      <c r="C171" s="2" t="inlineStr">
        <is>
          <t>Export respects permissions</t>
        </is>
      </c>
      <c r="D171" s="2" t="inlineStr">
        <is>
          <t>Request the team export as a Technician.</t>
        </is>
      </c>
      <c r="E171" s="2" t="inlineStr">
        <is>
          <t>Refused.</t>
        </is>
      </c>
      <c r="F171" s="2" t="inlineStr">
        <is>
          <t>API 403.</t>
        </is>
      </c>
      <c r="G171" s="4" t="inlineStr">
        <is>
          <t>Not run</t>
        </is>
      </c>
      <c r="H171" s="4" t="inlineStr"/>
      <c r="I171" s="5" t="inlineStr"/>
      <c r="J171" s="4" t="inlineStr"/>
    </row>
    <row r="172">
      <c r="A172" s="2" t="inlineStr">
        <is>
          <t>16. Activity Events and Daily Rollup</t>
        </is>
      </c>
      <c r="B172" s="3" t="inlineStr">
        <is>
          <t>ROLL-01</t>
        </is>
      </c>
      <c r="C172" s="2" t="inlineStr">
        <is>
          <t>Events are captured from both sources</t>
        </is>
      </c>
      <c r="D172" s="2" t="inlineStr">
        <is>
          <t>Perform a portal action and let a PSA transition sync.</t>
        </is>
      </c>
      <c r="E172" s="2" t="inlineStr">
        <is>
          <t>Rows appear in activity_events with Source Portal and Psa respectively.</t>
        </is>
      </c>
      <c r="F172" s="2" t="inlineStr">
        <is>
          <t>SQL: select "Source",count(*) from activity_events group by 1.</t>
        </is>
      </c>
      <c r="G172" s="4" t="inlineStr">
        <is>
          <t>Not run</t>
        </is>
      </c>
      <c r="H172" s="4" t="inlineStr"/>
      <c r="I172" s="5" t="inlineStr"/>
      <c r="J172" s="4" t="inlineStr"/>
    </row>
    <row r="173">
      <c r="A173" s="2" t="inlineStr">
        <is>
          <t>16. Activity Events and Daily Rollup</t>
        </is>
      </c>
      <c r="B173" s="3" t="inlineStr">
        <is>
          <t>ROLL-02</t>
        </is>
      </c>
      <c r="C173" s="2" t="inlineStr">
        <is>
          <t>Events are dated when they HAPPENED</t>
        </is>
      </c>
      <c r="D173" s="2" t="inlineStr">
        <is>
          <t>Import a ticket closed last month.</t>
        </is>
      </c>
      <c r="E173" s="2" t="inlineStr">
        <is>
          <t>OccurredAt carries last month's date, not today's.</t>
        </is>
      </c>
      <c r="F173" s="2" t="inlineStr">
        <is>
          <t>SQL: select "OccurredAt"::date, count(*) from activity_events group by 1 order by 1.</t>
        </is>
      </c>
      <c r="G173" s="4" t="inlineStr">
        <is>
          <t>Not run</t>
        </is>
      </c>
      <c r="H173" s="4" t="inlineStr"/>
      <c r="I173" s="5" t="inlineStr"/>
      <c r="J173" s="4" t="inlineStr"/>
    </row>
    <row r="174">
      <c r="A174" s="2" t="inlineStr">
        <is>
          <t>16. Activity Events and Daily Rollup</t>
        </is>
      </c>
      <c r="B174" s="3" t="inlineStr">
        <is>
          <t>ROLL-03</t>
        </is>
      </c>
      <c r="C174" s="2" t="inlineStr">
        <is>
          <t>Rollup produces daily facts</t>
        </is>
      </c>
      <c r="D174" s="2" t="inlineStr">
        <is>
          <t>Wait for the hourly pass or restart the worker.</t>
        </is>
      </c>
      <c r="E174" s="2" t="inlineStr">
        <is>
          <t>activity_daily_facts is populated; sum("EventCount") equals the number of events in range.</t>
        </is>
      </c>
      <c r="F174" s="2" t="inlineStr">
        <is>
          <t>SQL.</t>
        </is>
      </c>
      <c r="G174" s="4" t="inlineStr">
        <is>
          <t>Not run</t>
        </is>
      </c>
      <c r="H174" s="4" t="inlineStr"/>
      <c r="I174" s="5" t="inlineStr"/>
      <c r="J174" s="4" t="inlineStr"/>
    </row>
    <row r="175">
      <c r="A175" s="2" t="inlineStr">
        <is>
          <t>16. Activity Events and Daily Rollup</t>
        </is>
      </c>
      <c r="B175" s="3" t="inlineStr">
        <is>
          <t>ROLL-04</t>
        </is>
      </c>
      <c r="C175" s="2" t="inlineStr">
        <is>
          <t>History older than the rolling window is backfilled</t>
        </is>
      </c>
      <c r="D175" s="2" t="inlineStr">
        <is>
          <t>Insert an event dated 60 days ago, then run the rollup.</t>
        </is>
      </c>
      <c r="E175" s="2" t="inlineStr">
        <is>
          <t>A fact exists for that day. A fixed 7-day window alone can never build history.</t>
        </is>
      </c>
      <c r="F175" s="2" t="inlineStr">
        <is>
          <t>SQL.</t>
        </is>
      </c>
      <c r="G175" s="4" t="inlineStr">
        <is>
          <t>Not run</t>
        </is>
      </c>
      <c r="H175" s="4" t="inlineStr"/>
      <c r="I175" s="5" t="inlineStr"/>
      <c r="J175" s="4" t="inlineStr"/>
    </row>
    <row r="176">
      <c r="A176" s="2" t="inlineStr">
        <is>
          <t>16. Activity Events and Daily Rollup</t>
        </is>
      </c>
      <c r="B176" s="3" t="inlineStr">
        <is>
          <t>ROLL-05</t>
        </is>
      </c>
      <c r="C176" s="2" t="inlineStr">
        <is>
          <t>Backfill settles</t>
        </is>
      </c>
      <c r="D176" s="2" t="inlineStr">
        <is>
          <t>Run the rollup twice.</t>
        </is>
      </c>
      <c r="E176" s="2" t="inlineStr">
        <is>
          <t>The first pass processes the backlog; the second processes only the rolling window and the totals do not change.</t>
        </is>
      </c>
      <c r="F176" s="2" t="inlineStr">
        <is>
          <t>Compare the two 'Activity rollup:' log lines - capture the first line's timestamp and poll for a DIFFERENT one, or you will read the same line twice.</t>
        </is>
      </c>
      <c r="G176" s="4" t="inlineStr">
        <is>
          <t>Not run</t>
        </is>
      </c>
      <c r="H176" s="4" t="inlineStr"/>
      <c r="I176" s="5" t="inlineStr"/>
      <c r="J176" s="4" t="inlineStr"/>
    </row>
    <row r="177">
      <c r="A177" s="2" t="inlineStr">
        <is>
          <t>16. Activity Events and Daily Rollup</t>
        </is>
      </c>
      <c r="B177" s="3" t="inlineStr">
        <is>
          <t>ROLL-06</t>
        </is>
      </c>
      <c r="C177" s="2" t="inlineStr">
        <is>
          <t>Late-arriving events correct their own day</t>
        </is>
      </c>
      <c r="D177" s="2" t="inlineStr">
        <is>
          <t>Add a second event for a day already rolled up, then run the rollup.</t>
        </is>
      </c>
      <c r="E177" s="2" t="inlineStr">
        <is>
          <t>That day's fact is rebuilt, not appended to.</t>
        </is>
      </c>
      <c r="F177" s="2" t="inlineStr">
        <is>
          <t>SQL.</t>
        </is>
      </c>
      <c r="G177" s="4" t="inlineStr">
        <is>
          <t>Not run</t>
        </is>
      </c>
      <c r="H177" s="4" t="inlineStr"/>
      <c r="I177" s="5" t="inlineStr"/>
      <c r="J177" s="4" t="inlineStr"/>
    </row>
    <row r="178">
      <c r="A178" s="2" t="inlineStr">
        <is>
          <t>16. Activity Events and Daily Rollup</t>
        </is>
      </c>
      <c r="B178" s="3" t="inlineStr">
        <is>
          <t>ROLL-07</t>
        </is>
      </c>
      <c r="C178" s="2" t="inlineStr">
        <is>
          <t>Untouched days keep their facts</t>
        </is>
      </c>
      <c r="D178" s="2" t="inlineStr">
        <is>
          <t>Ensure a day inside the rebuild range has facts but no new events.</t>
        </is>
      </c>
      <c r="E178" s="2" t="inlineStr">
        <is>
          <t>Its facts survive the pass unchanged.</t>
        </is>
      </c>
      <c r="F178" s="2" t="inlineStr">
        <is>
          <t>SQL.</t>
        </is>
      </c>
      <c r="G178" s="4" t="inlineStr">
        <is>
          <t>Not run</t>
        </is>
      </c>
      <c r="H178" s="4" t="inlineStr"/>
      <c r="I178" s="5" t="inlineStr"/>
      <c r="J178" s="4" t="inlineStr"/>
    </row>
    <row r="179">
      <c r="A179" s="2" t="inlineStr">
        <is>
          <t>16. Activity Events and Daily Rollup</t>
        </is>
      </c>
      <c r="B179" s="3" t="inlineStr">
        <is>
          <t>ROLL-08</t>
        </is>
      </c>
      <c r="C179" s="2" t="inlineStr">
        <is>
          <t>Retention expires raw events but keeps facts</t>
        </is>
      </c>
      <c r="D179" s="2" t="inlineStr">
        <is>
          <t>Insert an event older than 396 days and run the rollup.</t>
        </is>
      </c>
      <c r="E179" s="2" t="inlineStr">
        <is>
          <t>The raw event is deleted; facts from that period remain.</t>
        </is>
      </c>
      <c r="F179" s="2" t="inlineStr">
        <is>
          <t>SQL counts on both tables.</t>
        </is>
      </c>
      <c r="G179" s="4" t="inlineStr">
        <is>
          <t>Not run</t>
        </is>
      </c>
      <c r="H179" s="4" t="inlineStr"/>
      <c r="I179" s="5" t="inlineStr"/>
      <c r="J179" s="4" t="inlineStr"/>
    </row>
    <row r="180">
      <c r="A180" s="2" t="inlineStr">
        <is>
          <t>17. Client Control Panel</t>
        </is>
      </c>
      <c r="B180" s="3" t="inlineStr">
        <is>
          <t>CP-01</t>
        </is>
      </c>
      <c r="C180" s="2" t="inlineStr">
        <is>
          <t>Capabilities drive the navigation</t>
        </is>
      </c>
      <c r="D180" s="2" t="inlineStr">
        <is>
          <t>Open /control-panel as a client admin and as a delegated non-admin.</t>
        </is>
      </c>
      <c r="E180" s="2" t="inlineStr">
        <is>
          <t>The admin sees every section; the delegate sees only granted sections.</t>
        </is>
      </c>
      <c r="F180" s="2" t="inlineStr">
        <is>
          <t>Browser (two sessions).</t>
        </is>
      </c>
      <c r="G180" s="4" t="inlineStr">
        <is>
          <t>Not run</t>
        </is>
      </c>
      <c r="H180" s="4" t="inlineStr"/>
      <c r="I180" s="5" t="inlineStr"/>
      <c r="J180" s="4" t="inlineStr"/>
    </row>
    <row r="181">
      <c r="A181" s="2" t="inlineStr">
        <is>
          <t>17. Client Control Panel</t>
        </is>
      </c>
      <c r="B181" s="3" t="inlineStr">
        <is>
          <t>CP-02</t>
        </is>
      </c>
      <c r="C181" s="2" t="inlineStr">
        <is>
          <t>Ticket instructions, global and per account</t>
        </is>
      </c>
      <c r="D181" s="2" t="inlineStr">
        <is>
          <t>Set global instructions, then an override for one account.</t>
        </is>
      </c>
      <c r="E181" s="2" t="inlineStr">
        <is>
          <t>The account override wins for that account; others fall back to global.</t>
        </is>
      </c>
      <c r="F181" s="2" t="inlineStr">
        <is>
          <t>Open a ticket for each account and compare the amber panel.</t>
        </is>
      </c>
      <c r="G181" s="4" t="inlineStr">
        <is>
          <t>Not run</t>
        </is>
      </c>
      <c r="H181" s="4" t="inlineStr"/>
      <c r="I181" s="5" t="inlineStr"/>
      <c r="J181" s="4" t="inlineStr"/>
    </row>
    <row r="182">
      <c r="A182" s="2" t="inlineStr">
        <is>
          <t>17. Client Control Panel</t>
        </is>
      </c>
      <c r="B182" s="3" t="inlineStr">
        <is>
          <t>CP-03</t>
        </is>
      </c>
      <c r="C182" s="2" t="inlineStr">
        <is>
          <t>Approvers CRUD</t>
        </is>
      </c>
      <c r="D182" s="2" t="inlineStr">
        <is>
          <t>Add, edit and delete an approver.</t>
        </is>
      </c>
      <c r="E182" s="2" t="inlineStr">
        <is>
          <t>Each operation persists and is audited.</t>
        </is>
      </c>
      <c r="F182" s="2" t="inlineStr">
        <is>
          <t>Browser + SQL + audit log.</t>
        </is>
      </c>
      <c r="G182" s="4" t="inlineStr">
        <is>
          <t>Not run</t>
        </is>
      </c>
      <c r="H182" s="4" t="inlineStr"/>
      <c r="I182" s="5" t="inlineStr"/>
      <c r="J182" s="4" t="inlineStr"/>
    </row>
    <row r="183">
      <c r="A183" s="2" t="inlineStr">
        <is>
          <t>17. Client Control Panel</t>
        </is>
      </c>
      <c r="B183" s="3" t="inlineStr">
        <is>
          <t>CP-04</t>
        </is>
      </c>
      <c r="C183" s="2" t="inlineStr">
        <is>
          <t>Escalation levels</t>
        </is>
      </c>
      <c r="D183" s="2" t="inlineStr">
        <is>
          <t>Create escalation levels and confirm ordering.</t>
        </is>
      </c>
      <c r="E183" s="2" t="inlineStr">
        <is>
          <t>Levels persist in order.</t>
        </is>
      </c>
      <c r="F183" s="2" t="inlineStr">
        <is>
          <t>Browser.</t>
        </is>
      </c>
      <c r="G183" s="4" t="inlineStr">
        <is>
          <t>Not run</t>
        </is>
      </c>
      <c r="H183" s="4" t="inlineStr"/>
      <c r="I183" s="5" t="inlineStr"/>
      <c r="J183" s="4" t="inlineStr"/>
    </row>
    <row r="184">
      <c r="A184" s="2" t="inlineStr">
        <is>
          <t>17. Client Control Panel</t>
        </is>
      </c>
      <c r="B184" s="3" t="inlineStr">
        <is>
          <t>CP-05</t>
        </is>
      </c>
      <c r="C184" s="2" t="inlineStr">
        <is>
          <t>Business hours</t>
        </is>
      </c>
      <c r="D184" s="2" t="inlineStr">
        <is>
          <t>Set a weekly schedule and save.</t>
        </is>
      </c>
      <c r="E184" s="2" t="inlineStr">
        <is>
          <t>Stored as a single row per account with the weekly schedule; reload shows the same values.</t>
        </is>
      </c>
      <c r="F184" s="2" t="inlineStr">
        <is>
          <t>Browser + SQL.</t>
        </is>
      </c>
      <c r="G184" s="4" t="inlineStr">
        <is>
          <t>Not run</t>
        </is>
      </c>
      <c r="H184" s="4" t="inlineStr"/>
      <c r="I184" s="5" t="inlineStr"/>
      <c r="J184" s="4" t="inlineStr"/>
    </row>
    <row r="185">
      <c r="A185" s="2" t="inlineStr">
        <is>
          <t>17. Client Control Panel</t>
        </is>
      </c>
      <c r="B185" s="3" t="inlineStr">
        <is>
          <t>CP-06</t>
        </is>
      </c>
      <c r="C185" s="2" t="inlineStr">
        <is>
          <t>Holidays, manual and imported</t>
        </is>
      </c>
      <c r="D185" s="2" t="inlineStr">
        <is>
          <t>Add a holiday by hand, then import from the PSA (POST /api/control-panel/holidays/import-from-psa).</t>
        </is>
      </c>
      <c r="E185" s="2" t="inlineStr">
        <is>
          <t>Imported holidays are de-duplicated BY DATE, so re-importing does not double them and a renamed holiday does not create a second row.</t>
        </is>
      </c>
      <c r="F185" s="2" t="inlineStr">
        <is>
          <t>Run the import twice and compare counts.</t>
        </is>
      </c>
      <c r="G185" s="4" t="inlineStr">
        <is>
          <t>Not run</t>
        </is>
      </c>
      <c r="H185" s="4" t="inlineStr"/>
      <c r="I185" s="5" t="inlineStr"/>
      <c r="J185" s="4" t="inlineStr"/>
    </row>
    <row r="186">
      <c r="A186" s="2" t="inlineStr">
        <is>
          <t>17. Client Control Panel</t>
        </is>
      </c>
      <c r="B186" s="3" t="inlineStr">
        <is>
          <t>CP-07</t>
        </is>
      </c>
      <c r="C186" s="2" t="inlineStr">
        <is>
          <t>Accounts and devices</t>
        </is>
      </c>
      <c r="D186" s="2" t="inlineStr">
        <is>
          <t>View the account card and add a device.</t>
        </is>
      </c>
      <c r="E186" s="2" t="inlineStr">
        <is>
          <t>Persists and displays.</t>
        </is>
      </c>
      <c r="F186" s="2" t="inlineStr">
        <is>
          <t>Browser.</t>
        </is>
      </c>
      <c r="G186" s="4" t="inlineStr">
        <is>
          <t>Not run</t>
        </is>
      </c>
      <c r="H186" s="4" t="inlineStr"/>
      <c r="I186" s="5" t="inlineStr"/>
      <c r="J186" s="4" t="inlineStr"/>
    </row>
    <row r="187">
      <c r="A187" s="2" t="inlineStr">
        <is>
          <t>17. Client Control Panel</t>
        </is>
      </c>
      <c r="B187" s="3" t="inlineStr">
        <is>
          <t>CP-08</t>
        </is>
      </c>
      <c r="C187" s="2" t="inlineStr">
        <is>
          <t>Announcements</t>
        </is>
      </c>
      <c r="D187" s="2" t="inlineStr">
        <is>
          <t>Create, pin, publish and unpublish an announcement.</t>
        </is>
      </c>
      <c r="E187" s="2" t="inlineStr">
        <is>
          <t>Only published announcements are visible to client users; pinned ones sort first.</t>
        </is>
      </c>
      <c r="F187" s="2" t="inlineStr">
        <is>
          <t>Browser (two sessions).</t>
        </is>
      </c>
      <c r="G187" s="4" t="inlineStr">
        <is>
          <t>Not run</t>
        </is>
      </c>
      <c r="H187" s="4" t="inlineStr"/>
      <c r="I187" s="5" t="inlineStr"/>
      <c r="J187" s="4" t="inlineStr"/>
    </row>
    <row r="188">
      <c r="A188" s="2" t="inlineStr">
        <is>
          <t>17. Client Control Panel</t>
        </is>
      </c>
      <c r="B188" s="3" t="inlineStr">
        <is>
          <t>CP-09</t>
        </is>
      </c>
      <c r="C188" s="2" t="inlineStr">
        <is>
          <t>Knowledge base</t>
        </is>
      </c>
      <c r="D188" s="2" t="inlineStr">
        <is>
          <t>Create a draft and a published FAQ article in two categories.</t>
        </is>
      </c>
      <c r="E188" s="2" t="inlineStr">
        <is>
          <t>Drafts are hidden from client users; published ones are grouped by category.</t>
        </is>
      </c>
      <c r="F188" s="2" t="inlineStr">
        <is>
          <t>Browser.</t>
        </is>
      </c>
      <c r="G188" s="4" t="inlineStr">
        <is>
          <t>Not run</t>
        </is>
      </c>
      <c r="H188" s="4" t="inlineStr"/>
      <c r="I188" s="5" t="inlineStr"/>
      <c r="J188" s="4" t="inlineStr"/>
    </row>
    <row r="189">
      <c r="A189" s="2" t="inlineStr">
        <is>
          <t>17. Client Control Panel</t>
        </is>
      </c>
      <c r="B189" s="3" t="inlineStr">
        <is>
          <t>CP-10</t>
        </is>
      </c>
      <c r="C189" s="2" t="inlineStr">
        <is>
          <t>Branding</t>
        </is>
      </c>
      <c r="D189" s="2" t="inlineStr">
        <is>
          <t>Set display name, logo URL and accent colour.</t>
        </is>
      </c>
      <c r="E189" s="2" t="inlineStr">
        <is>
          <t>The live preview updates and the values persist.</t>
        </is>
      </c>
      <c r="F189" s="2" t="inlineStr">
        <is>
          <t>Browser. Confirm a javascript: or data: URL in the logo field is REJECTED.</t>
        </is>
      </c>
      <c r="G189" s="4" t="inlineStr">
        <is>
          <t>Not run</t>
        </is>
      </c>
      <c r="H189" s="4" t="inlineStr"/>
      <c r="I189" s="5" t="inlineStr"/>
      <c r="J189" s="4" t="inlineStr"/>
    </row>
    <row r="190">
      <c r="A190" s="2" t="inlineStr">
        <is>
          <t>17. Client Control Panel</t>
        </is>
      </c>
      <c r="B190" s="3" t="inlineStr">
        <is>
          <t>CP-11</t>
        </is>
      </c>
      <c r="C190" s="2" t="inlineStr">
        <is>
          <t>Account report</t>
        </is>
      </c>
      <c r="D190" s="2" t="inlineStr">
        <is>
          <t>Open Control Panel &gt; Reports.</t>
        </is>
      </c>
      <c r="E190" s="2" t="inlineStr">
        <is>
          <t>Ticket counts by status, open count, hours logged and billable, and recent tickets - all matching SQL for that account.</t>
        </is>
      </c>
      <c r="F190" s="2" t="inlineStr">
        <is>
          <t>Browser + SQL.</t>
        </is>
      </c>
      <c r="G190" s="4" t="inlineStr">
        <is>
          <t>Not run</t>
        </is>
      </c>
      <c r="H190" s="4" t="inlineStr"/>
      <c r="I190" s="5" t="inlineStr"/>
      <c r="J190" s="4" t="inlineStr"/>
    </row>
    <row r="191">
      <c r="A191" s="2" t="inlineStr">
        <is>
          <t>17. Client Control Panel</t>
        </is>
      </c>
      <c r="B191" s="3" t="inlineStr">
        <is>
          <t>CP-12</t>
        </is>
      </c>
      <c r="C191" s="2" t="inlineStr">
        <is>
          <t>Open-ticket count uses the mapped statuses</t>
        </is>
      </c>
      <c r="D191" s="2" t="inlineStr">
        <is>
          <t>Ensure a ticket carries an unmapped raw provider status, then view the report.</t>
        </is>
      </c>
      <c r="E191" s="2" t="inlineStr">
        <is>
          <t>It is NOT counted as open, because the open list is NEW, IN_PROGRESS, WAITING_CUSTOMER, ON_HOLD. This is why unmapped statuses matter beyond cosmetics.</t>
        </is>
      </c>
      <c r="F191" s="2" t="inlineStr">
        <is>
          <t>Browser + SQL. Then map the status and confirm the count corrects itself.</t>
        </is>
      </c>
      <c r="G191" s="4" t="inlineStr">
        <is>
          <t>Not run</t>
        </is>
      </c>
      <c r="H191" s="4" t="inlineStr"/>
      <c r="I191" s="5" t="inlineStr"/>
      <c r="J191" s="4" t="inlineStr"/>
    </row>
    <row r="192">
      <c r="A192" s="2" t="inlineStr">
        <is>
          <t>17. Client Control Panel</t>
        </is>
      </c>
      <c r="B192" s="3" t="inlineStr">
        <is>
          <t>CP-13</t>
        </is>
      </c>
      <c r="C192" s="2" t="inlineStr">
        <is>
          <t>Delegation scope: one account versus all</t>
        </is>
      </c>
      <c r="D192" s="2" t="inlineStr">
        <is>
          <t>Grant a user a section for one account, then for all accounts.</t>
        </is>
      </c>
      <c r="E192" s="2" t="inlineStr">
        <is>
          <t>Access matches the scope exactly.</t>
        </is>
      </c>
      <c r="F192" s="2" t="inlineStr">
        <is>
          <t>Browser.</t>
        </is>
      </c>
      <c r="G192" s="4" t="inlineStr">
        <is>
          <t>Not run</t>
        </is>
      </c>
      <c r="H192" s="4" t="inlineStr"/>
      <c r="I192" s="5" t="inlineStr"/>
      <c r="J192" s="4" t="inlineStr"/>
    </row>
    <row r="193">
      <c r="A193" s="2" t="inlineStr">
        <is>
          <t>17. Client Control Panel</t>
        </is>
      </c>
      <c r="B193" s="3" t="inlineStr">
        <is>
          <t>CP-14</t>
        </is>
      </c>
      <c r="C193" s="2" t="inlineStr">
        <is>
          <t>Control panel is client-only</t>
        </is>
      </c>
      <c r="D193" s="2" t="inlineStr">
        <is>
          <t>Attempt /api/control-panel/* with a staff-only session.</t>
        </is>
      </c>
      <c r="E193" s="2" t="inlineStr">
        <is>
          <t>Refused.</t>
        </is>
      </c>
      <c r="F193" s="2" t="inlineStr">
        <is>
          <t>API.</t>
        </is>
      </c>
      <c r="G193" s="4" t="inlineStr">
        <is>
          <t>Not run</t>
        </is>
      </c>
      <c r="H193" s="4" t="inlineStr"/>
      <c r="I193" s="5" t="inlineStr"/>
      <c r="J193" s="4" t="inlineStr"/>
    </row>
    <row r="194">
      <c r="A194" s="2" t="inlineStr">
        <is>
          <t>18. Reports, Export and Scheduling</t>
        </is>
      </c>
      <c r="B194" s="3" t="inlineStr">
        <is>
          <t>RPT-01</t>
        </is>
      </c>
      <c r="C194" s="2" t="inlineStr">
        <is>
          <t>CSV export is valid</t>
        </is>
      </c>
      <c r="D194" s="2" t="inlineStr">
        <is>
          <t>GET /api/control-panel/report/export.</t>
        </is>
      </c>
      <c r="E194" s="2" t="inlineStr">
        <is>
          <t>RFC-4180 compliant: quoted fields, escaped quotes, correct header. Opens cleanly in Excel.</t>
        </is>
      </c>
      <c r="F194" s="2" t="inlineStr">
        <is>
          <t>Download and open. Include a client name containing a comma and a quote.</t>
        </is>
      </c>
      <c r="G194" s="4" t="inlineStr">
        <is>
          <t>Not run</t>
        </is>
      </c>
      <c r="H194" s="4" t="inlineStr"/>
      <c r="I194" s="5" t="inlineStr"/>
      <c r="J194" s="4" t="inlineStr"/>
    </row>
    <row r="195">
      <c r="A195" s="2" t="inlineStr">
        <is>
          <t>18. Reports, Export and Scheduling</t>
        </is>
      </c>
      <c r="B195" s="3" t="inlineStr">
        <is>
          <t>RPT-02</t>
        </is>
      </c>
      <c r="C195" s="2" t="inlineStr">
        <is>
          <t>Create a schedule</t>
        </is>
      </c>
      <c r="D195" s="2" t="inlineStr">
        <is>
          <t>PUT /api/control-panel/report/schedules with a frequency.</t>
        </is>
      </c>
      <c r="E195" s="2" t="inlineStr">
        <is>
          <t>Stored with the correct next-run time.</t>
        </is>
      </c>
      <c r="F195" s="2" t="inlineStr">
        <is>
          <t>SQL on report_schedules.</t>
        </is>
      </c>
      <c r="G195" s="4" t="inlineStr">
        <is>
          <t>Not run</t>
        </is>
      </c>
      <c r="H195" s="4" t="inlineStr"/>
      <c r="I195" s="5" t="inlineStr"/>
      <c r="J195" s="4" t="inlineStr"/>
    </row>
    <row r="196">
      <c r="A196" s="2" t="inlineStr">
        <is>
          <t>18. Reports, Export and Scheduling</t>
        </is>
      </c>
      <c r="B196" s="3" t="inlineStr">
        <is>
          <t>RPT-03</t>
        </is>
      </c>
      <c r="C196" s="2" t="inlineStr">
        <is>
          <t>Run now</t>
        </is>
      </c>
      <c r="D196" s="2" t="inlineStr">
        <is>
          <t>POST /api/control-panel/report/schedules/{id}/run.</t>
        </is>
      </c>
      <c r="E196" s="2" t="inlineStr">
        <is>
          <t>A run is recorded and the file is downloadable.</t>
        </is>
      </c>
      <c r="F196" s="2" t="inlineStr">
        <is>
          <t>Browser + SQL on report_runs.</t>
        </is>
      </c>
      <c r="G196" s="4" t="inlineStr">
        <is>
          <t>Not run</t>
        </is>
      </c>
      <c r="H196" s="4" t="inlineStr"/>
      <c r="I196" s="5" t="inlineStr"/>
      <c r="J196" s="4" t="inlineStr"/>
    </row>
    <row r="197">
      <c r="A197" s="2" t="inlineStr">
        <is>
          <t>18. Reports, Export and Scheduling</t>
        </is>
      </c>
      <c r="B197" s="3" t="inlineStr">
        <is>
          <t>RPT-04</t>
        </is>
      </c>
      <c r="C197" s="2" t="inlineStr">
        <is>
          <t>Scheduled runs fire</t>
        </is>
      </c>
      <c r="D197" s="2" t="inlineStr">
        <is>
          <t>Set a schedule due in the past and wait for the worker's 5-minute tick.</t>
        </is>
      </c>
      <c r="E197" s="2" t="inlineStr">
        <is>
          <t>The run executes once and the next-run time advances.</t>
        </is>
      </c>
      <c r="F197" s="2" t="inlineStr">
        <is>
          <t>SQL + worker log. Confirm it does not run repeatedly.</t>
        </is>
      </c>
      <c r="G197" s="4" t="inlineStr">
        <is>
          <t>Not run</t>
        </is>
      </c>
      <c r="H197" s="4" t="inlineStr"/>
      <c r="I197" s="5" t="inlineStr"/>
      <c r="J197" s="4" t="inlineStr"/>
    </row>
    <row r="198">
      <c r="A198" s="2" t="inlineStr">
        <is>
          <t>18. Reports, Export and Scheduling</t>
        </is>
      </c>
      <c r="B198" s="3" t="inlineStr">
        <is>
          <t>RPT-05</t>
        </is>
      </c>
      <c r="C198" s="2" t="inlineStr">
        <is>
          <t>Run history and download</t>
        </is>
      </c>
      <c r="D198" s="2" t="inlineStr">
        <is>
          <t>GET /api/control-panel/report/runs then download one.</t>
        </is>
      </c>
      <c r="E198" s="2" t="inlineStr">
        <is>
          <t>History lists past runs; each downloads its own CSV.</t>
        </is>
      </c>
      <c r="F198" s="2" t="inlineStr">
        <is>
          <t>Browser.</t>
        </is>
      </c>
      <c r="G198" s="4" t="inlineStr">
        <is>
          <t>Not run</t>
        </is>
      </c>
      <c r="H198" s="4" t="inlineStr"/>
      <c r="I198" s="5" t="inlineStr"/>
      <c r="J198" s="4" t="inlineStr"/>
    </row>
    <row r="199">
      <c r="A199" s="2" t="inlineStr">
        <is>
          <t>18. Reports, Export and Scheduling</t>
        </is>
      </c>
      <c r="B199" s="3" t="inlineStr">
        <is>
          <t>RPT-06</t>
        </is>
      </c>
      <c r="C199" s="2" t="inlineStr">
        <is>
          <t>No email is sent</t>
        </is>
      </c>
      <c r="D199" s="2" t="inlineStr">
        <is>
          <t>Inspect the delivery path.</t>
        </is>
      </c>
      <c r="E199" s="2" t="inlineStr">
        <is>
          <t>There is no SMTP in the stack: reports and enquiries are STORED for in-portal download, never emailed. Verify expectations match this.</t>
        </is>
      </c>
      <c r="F199" s="2" t="inlineStr">
        <is>
          <t>Code/config review - this is a design fact worth confirming with the customer.</t>
        </is>
      </c>
      <c r="G199" s="4" t="inlineStr">
        <is>
          <t>Not run</t>
        </is>
      </c>
      <c r="H199" s="4" t="inlineStr"/>
      <c r="I199" s="5" t="inlineStr"/>
      <c r="J199" s="4" t="inlineStr"/>
    </row>
    <row r="200">
      <c r="A200" s="2" t="inlineStr">
        <is>
          <t>19. AI Assistant</t>
        </is>
      </c>
      <c r="B200" s="3" t="inlineStr">
        <is>
          <t>AI-01</t>
        </is>
      </c>
      <c r="C200" s="2" t="inlineStr">
        <is>
          <t>Disabled by default</t>
        </is>
      </c>
      <c r="D200" s="2" t="inlineStr">
        <is>
          <t>Open a ticket on a tenant that has never configured the assistant.</t>
        </is>
      </c>
      <c r="E200" s="2" t="inlineStr">
        <is>
          <t>No assistant actions are offered.</t>
        </is>
      </c>
      <c r="F200" s="2" t="inlineStr">
        <is>
          <t>Browser.</t>
        </is>
      </c>
      <c r="G200" s="4" t="inlineStr">
        <is>
          <t>Not run</t>
        </is>
      </c>
      <c r="H200" s="4" t="inlineStr"/>
      <c r="I200" s="5" t="inlineStr"/>
      <c r="J200" s="4" t="inlineStr"/>
    </row>
    <row r="201">
      <c r="A201" s="2" t="inlineStr">
        <is>
          <t>19. AI Assistant</t>
        </is>
      </c>
      <c r="B201" s="3" t="inlineStr">
        <is>
          <t>AI-02</t>
        </is>
      </c>
      <c r="C201" s="2" t="inlineStr">
        <is>
          <t>Enabling without a key is refused</t>
        </is>
      </c>
      <c r="D201" s="2" t="inlineStr">
        <is>
          <t>Attempt to enable the assistant with no API key stored.</t>
        </is>
      </c>
      <c r="E201" s="2" t="inlineStr">
        <is>
          <t>Refused with a clear message.</t>
        </is>
      </c>
      <c r="F201" s="2" t="inlineStr">
        <is>
          <t>Browser + API.</t>
        </is>
      </c>
      <c r="G201" s="4" t="inlineStr">
        <is>
          <t>Not run</t>
        </is>
      </c>
      <c r="H201" s="4" t="inlineStr"/>
      <c r="I201" s="5" t="inlineStr"/>
      <c r="J201" s="4" t="inlineStr"/>
    </row>
    <row r="202">
      <c r="A202" s="2" t="inlineStr">
        <is>
          <t>19. AI Assistant</t>
        </is>
      </c>
      <c r="B202" s="3" t="inlineStr">
        <is>
          <t>AI-03</t>
        </is>
      </c>
      <c r="C202" s="2" t="inlineStr">
        <is>
          <t>The key is never returned</t>
        </is>
      </c>
      <c r="D202" s="2" t="inlineStr">
        <is>
          <t>GET /api/assistant/settings.</t>
        </is>
      </c>
      <c r="E202" s="2" t="inlineStr">
        <is>
          <t>Returns hasKey true/false only - never the key itself.</t>
        </is>
      </c>
      <c r="F202" s="2" t="inlineStr">
        <is>
          <t>Raw JSON.</t>
        </is>
      </c>
      <c r="G202" s="4" t="inlineStr">
        <is>
          <t>Not run</t>
        </is>
      </c>
      <c r="H202" s="4" t="inlineStr"/>
      <c r="I202" s="5" t="inlineStr"/>
      <c r="J202" s="4" t="inlineStr"/>
    </row>
    <row r="203">
      <c r="A203" s="2" t="inlineStr">
        <is>
          <t>19. AI Assistant</t>
        </is>
      </c>
      <c r="B203" s="3" t="inlineStr">
        <is>
          <t>AI-04</t>
        </is>
      </c>
      <c r="C203" s="2" t="inlineStr">
        <is>
          <t>Internal notes are excluded by default</t>
        </is>
      </c>
      <c r="D203" s="2" t="inlineStr">
        <is>
          <t>With IncludeInternalNotes false, run Summarise on a ticket containing internal notes.</t>
        </is>
      </c>
      <c r="E203" s="2" t="inlineStr">
        <is>
          <t>Internal content is not sent, and the prompt STATES the exclusion.</t>
        </is>
      </c>
      <c r="F203" s="2" t="inlineStr">
        <is>
          <t>Inspect the outbound request in the API log/telemetry. This is a confidentiality control, not a preference.</t>
        </is>
      </c>
      <c r="G203" s="4" t="inlineStr">
        <is>
          <t>Not run</t>
        </is>
      </c>
      <c r="H203" s="4" t="inlineStr"/>
      <c r="I203" s="5" t="inlineStr"/>
      <c r="J203" s="4" t="inlineStr"/>
    </row>
    <row r="204">
      <c r="A204" s="2" t="inlineStr">
        <is>
          <t>19. AI Assistant</t>
        </is>
      </c>
      <c r="B204" s="3" t="inlineStr">
        <is>
          <t>AI-05</t>
        </is>
      </c>
      <c r="C204" s="2" t="inlineStr">
        <is>
          <t>All six actions work</t>
        </is>
      </c>
      <c r="D204" s="2" t="inlineStr">
        <is>
          <t>Run Summarise, DraftReply, ImproveDraft, NextSteps, ExplainError and SimilarTickets.</t>
        </is>
      </c>
      <c r="E204" s="2" t="inlineStr">
        <is>
          <t>Each returns a useful result into the composer.</t>
        </is>
      </c>
      <c r="F204" s="2" t="inlineStr">
        <is>
          <t>Browser.</t>
        </is>
      </c>
      <c r="G204" s="4" t="inlineStr">
        <is>
          <t>Not run</t>
        </is>
      </c>
      <c r="H204" s="4" t="inlineStr"/>
      <c r="I204" s="5" t="inlineStr"/>
      <c r="J204" s="4" t="inlineStr"/>
    </row>
    <row r="205">
      <c r="A205" s="2" t="inlineStr">
        <is>
          <t>19. AI Assistant</t>
        </is>
      </c>
      <c r="B205" s="3" t="inlineStr">
        <is>
          <t>AI-06</t>
        </is>
      </c>
      <c r="C205" s="2" t="inlineStr">
        <is>
          <t>The assistant writes nothing</t>
        </is>
      </c>
      <c r="D205" s="2" t="inlineStr">
        <is>
          <t>Run every action and then inspect the ticket.</t>
        </is>
      </c>
      <c r="E205" s="2" t="inlineStr">
        <is>
          <t>No note, status change or time entry is created - drafts land in the composer only.</t>
        </is>
      </c>
      <c r="F205" s="2" t="inlineStr">
        <is>
          <t>SQL before/after.</t>
        </is>
      </c>
      <c r="G205" s="4" t="inlineStr">
        <is>
          <t>Not run</t>
        </is>
      </c>
      <c r="H205" s="4" t="inlineStr"/>
      <c r="I205" s="5" t="inlineStr"/>
      <c r="J205" s="4" t="inlineStr"/>
    </row>
    <row r="206">
      <c r="A206" s="2" t="inlineStr">
        <is>
          <t>19. AI Assistant</t>
        </is>
      </c>
      <c r="B206" s="3" t="inlineStr">
        <is>
          <t>AI-07</t>
        </is>
      </c>
      <c r="C206" s="2" t="inlineStr">
        <is>
          <t>Provider errors are translated</t>
        </is>
      </c>
      <c r="D206" s="2" t="inlineStr">
        <is>
          <t>Configure a deliberately invalid key and run an action.</t>
        </is>
      </c>
      <c r="E206" s="2" t="inlineStr">
        <is>
          <t>401/403 becomes 'check the key', 429 becomes 'wait', and 400 shows the provider's own message.</t>
        </is>
      </c>
      <c r="F206" s="2" t="inlineStr">
        <is>
          <t>Browser.</t>
        </is>
      </c>
      <c r="G206" s="4" t="inlineStr">
        <is>
          <t>Not run</t>
        </is>
      </c>
      <c r="H206" s="4" t="inlineStr"/>
      <c r="I206" s="5" t="inlineStr"/>
      <c r="J206" s="4" t="inlineStr"/>
    </row>
    <row r="207">
      <c r="A207" s="2" t="inlineStr">
        <is>
          <t>19. AI Assistant</t>
        </is>
      </c>
      <c r="B207" s="3" t="inlineStr">
        <is>
          <t>AI-08</t>
        </is>
      </c>
      <c r="C207" s="2" t="inlineStr">
        <is>
          <t>Ticket scope is checked before the model is called</t>
        </is>
      </c>
      <c r="D207" s="2" t="inlineStr">
        <is>
          <t>Request an assistant action for a ticket the user may not see.</t>
        </is>
      </c>
      <c r="E207" s="2" t="inlineStr">
        <is>
          <t>Refused BEFORE any call to the provider.</t>
        </is>
      </c>
      <c r="F207" s="2" t="inlineStr">
        <is>
          <t>API + absence of an outbound request in the log.</t>
        </is>
      </c>
      <c r="G207" s="4" t="inlineStr">
        <is>
          <t>Not run</t>
        </is>
      </c>
      <c r="H207" s="4" t="inlineStr"/>
      <c r="I207" s="5" t="inlineStr"/>
      <c r="J207" s="4" t="inlineStr"/>
    </row>
    <row r="208">
      <c r="A208" s="2" t="inlineStr">
        <is>
          <t>20. Notifications, Audit and Background Jobs</t>
        </is>
      </c>
      <c r="B208" s="3" t="inlineStr">
        <is>
          <t>OPS-01</t>
        </is>
      </c>
      <c r="C208" s="2" t="inlineStr">
        <is>
          <t>Notification list and history</t>
        </is>
      </c>
      <c r="D208" s="2" t="inlineStr">
        <is>
          <t>GET /api/me/notifications and /notifications/history.</t>
        </is>
      </c>
      <c r="E208" s="2" t="inlineStr">
        <is>
          <t>Own-data sections are visible to every authenticated user regardless of role.</t>
        </is>
      </c>
      <c r="F208" s="2" t="inlineStr">
        <is>
          <t>Browser as a Technician.</t>
        </is>
      </c>
      <c r="G208" s="4" t="inlineStr">
        <is>
          <t>Not run</t>
        </is>
      </c>
      <c r="H208" s="4" t="inlineStr"/>
      <c r="I208" s="5" t="inlineStr"/>
      <c r="J208" s="4" t="inlineStr"/>
    </row>
    <row r="209">
      <c r="A209" s="2" t="inlineStr">
        <is>
          <t>20. Notifications, Audit and Background Jobs</t>
        </is>
      </c>
      <c r="B209" s="3" t="inlineStr">
        <is>
          <t>OPS-02</t>
        </is>
      </c>
      <c r="C209" s="2" t="inlineStr">
        <is>
          <t>Audit trail is written</t>
        </is>
      </c>
      <c r="D209" s="2" t="inlineStr">
        <is>
          <t>Perform a connection edit, a role change and a mapping change.</t>
        </is>
      </c>
      <c r="E209" s="2" t="inlineStr">
        <is>
          <t>Each appears in /dashboard/audit with actor, action and target.</t>
        </is>
      </c>
      <c r="F209" s="2" t="inlineStr">
        <is>
          <t>Browser + SQL on audit_logs.</t>
        </is>
      </c>
      <c r="G209" s="4" t="inlineStr">
        <is>
          <t>Not run</t>
        </is>
      </c>
      <c r="H209" s="4" t="inlineStr"/>
      <c r="I209" s="5" t="inlineStr"/>
      <c r="J209" s="4" t="inlineStr"/>
    </row>
    <row r="210">
      <c r="A210" s="2" t="inlineStr">
        <is>
          <t>20. Notifications, Audit and Background Jobs</t>
        </is>
      </c>
      <c r="B210" s="3" t="inlineStr">
        <is>
          <t>OPS-03</t>
        </is>
      </c>
      <c r="C210" s="2" t="inlineStr">
        <is>
          <t>Audit records no secrets</t>
        </is>
      </c>
      <c r="D210" s="2" t="inlineStr">
        <is>
          <t>Rotate a credential and inspect the audit entry.</t>
        </is>
      </c>
      <c r="E210" s="2" t="inlineStr">
        <is>
          <t>The entry records that a rotation happened, with no credential value.</t>
        </is>
      </c>
      <c r="F210" s="2" t="inlineStr">
        <is>
          <t>SQL on the audit payload.</t>
        </is>
      </c>
      <c r="G210" s="4" t="inlineStr">
        <is>
          <t>Not run</t>
        </is>
      </c>
      <c r="H210" s="4" t="inlineStr"/>
      <c r="I210" s="5" t="inlineStr"/>
      <c r="J210" s="4" t="inlineStr"/>
    </row>
    <row r="211">
      <c r="A211" s="2" t="inlineStr">
        <is>
          <t>20. Notifications, Audit and Background Jobs</t>
        </is>
      </c>
      <c r="B211" s="3" t="inlineStr">
        <is>
          <t>OPS-04</t>
        </is>
      </c>
      <c r="C211" s="2" t="inlineStr">
        <is>
          <t>Audit is append-only</t>
        </is>
      </c>
      <c r="D211" s="2" t="inlineStr">
        <is>
          <t>Attempt to modify or delete an audit row through the application.</t>
        </is>
      </c>
      <c r="E211" s="2" t="inlineStr">
        <is>
          <t>No such path exists.</t>
        </is>
      </c>
      <c r="F211" s="2" t="inlineStr">
        <is>
          <t>API surface review.</t>
        </is>
      </c>
      <c r="G211" s="4" t="inlineStr">
        <is>
          <t>Not run</t>
        </is>
      </c>
      <c r="H211" s="4" t="inlineStr"/>
      <c r="I211" s="5" t="inlineStr"/>
      <c r="J211" s="4" t="inlineStr"/>
    </row>
    <row r="212">
      <c r="A212" s="2" t="inlineStr">
        <is>
          <t>20. Notifications, Audit and Background Jobs</t>
        </is>
      </c>
      <c r="B212" s="3" t="inlineStr">
        <is>
          <t>OPS-05</t>
        </is>
      </c>
      <c r="C212" s="2" t="inlineStr">
        <is>
          <t>Job list and dead-letter queue</t>
        </is>
      </c>
      <c r="D212" s="2" t="inlineStr">
        <is>
          <t>Open /dashboard/jobs.</t>
        </is>
      </c>
      <c r="E212" s="2" t="inlineStr">
        <is>
          <t>Queued, running, failed and DLQ jobs are listed with their attempt counts.</t>
        </is>
      </c>
      <c r="F212" s="2" t="inlineStr">
        <is>
          <t>Browser + SQL.</t>
        </is>
      </c>
      <c r="G212" s="4" t="inlineStr">
        <is>
          <t>Not run</t>
        </is>
      </c>
      <c r="H212" s="4" t="inlineStr"/>
      <c r="I212" s="5" t="inlineStr"/>
      <c r="J212" s="4" t="inlineStr"/>
    </row>
    <row r="213">
      <c r="A213" s="2" t="inlineStr">
        <is>
          <t>20. Notifications, Audit and Background Jobs</t>
        </is>
      </c>
      <c r="B213" s="3" t="inlineStr">
        <is>
          <t>OPS-06</t>
        </is>
      </c>
      <c r="C213" s="2" t="inlineStr">
        <is>
          <t>Reprocess a dead-lettered job</t>
        </is>
      </c>
      <c r="D213" s="2" t="inlineStr">
        <is>
          <t>POST /api/admin/jobs/{id}/reprocess on a DLQ job, then on a non-DLQ job.</t>
        </is>
      </c>
      <c r="E213" s="2" t="inlineStr">
        <is>
          <t>The DLQ job is re-queued and audited; the non-DLQ one is refused.</t>
        </is>
      </c>
      <c r="F213" s="2" t="inlineStr">
        <is>
          <t>API + SQL.</t>
        </is>
      </c>
      <c r="G213" s="4" t="inlineStr">
        <is>
          <t>Not run</t>
        </is>
      </c>
      <c r="H213" s="4" t="inlineStr"/>
      <c r="I213" s="5" t="inlineStr"/>
      <c r="J213" s="4" t="inlineStr"/>
    </row>
    <row r="214">
      <c r="A214" s="2" t="inlineStr">
        <is>
          <t>20. Notifications, Audit and Background Jobs</t>
        </is>
      </c>
      <c r="B214" s="3" t="inlineStr">
        <is>
          <t>OPS-07</t>
        </is>
      </c>
      <c r="C214" s="2" t="inlineStr">
        <is>
          <t>Retry and backoff</t>
        </is>
      </c>
      <c r="D214" s="2" t="inlineStr">
        <is>
          <t>Force a transient failure in a job handler.</t>
        </is>
      </c>
      <c r="E214" s="2" t="inlineStr">
        <is>
          <t>It retries with backoff and lands in the DLQ only after the configured attempts.</t>
        </is>
      </c>
      <c r="F214" s="2" t="inlineStr">
        <is>
          <t>Worker log + SQL.</t>
        </is>
      </c>
      <c r="G214" s="4" t="inlineStr">
        <is>
          <t>Not run</t>
        </is>
      </c>
      <c r="H214" s="4" t="inlineStr"/>
      <c r="I214" s="5" t="inlineStr"/>
      <c r="J214" s="4" t="inlineStr"/>
    </row>
    <row r="215">
      <c r="A215" s="2" t="inlineStr">
        <is>
          <t>20. Notifications, Audit and Background Jobs</t>
        </is>
      </c>
      <c r="B215" s="3" t="inlineStr">
        <is>
          <t>OPS-08</t>
        </is>
      </c>
      <c r="C215" s="2" t="inlineStr">
        <is>
          <t>Storage usage</t>
        </is>
      </c>
      <c r="D215" s="2" t="inlineStr">
        <is>
          <t>GET /api/admin/storage.</t>
        </is>
      </c>
      <c r="E215" s="2" t="inlineStr">
        <is>
          <t>Reported usage matches actual attachment storage.</t>
        </is>
      </c>
      <c r="F215" s="2" t="inlineStr">
        <is>
          <t>API + storage inspection.</t>
        </is>
      </c>
      <c r="G215" s="4" t="inlineStr">
        <is>
          <t>Not run</t>
        </is>
      </c>
      <c r="H215" s="4" t="inlineStr"/>
      <c r="I215" s="5" t="inlineStr"/>
      <c r="J215" s="4" t="inlineStr"/>
    </row>
    <row r="216">
      <c r="A216" s="2" t="inlineStr">
        <is>
          <t>21. Public Site, Enquiries and Legal</t>
        </is>
      </c>
      <c r="B216" s="3" t="inlineStr">
        <is>
          <t>PUB-01</t>
        </is>
      </c>
      <c r="C216" s="2" t="inlineStr">
        <is>
          <t>Marketing pages render</t>
        </is>
      </c>
      <c r="D216" s="2" t="inlineStr">
        <is>
          <t>Visit /, /about, /faq, /contact, /book, /platform, /security, /integrations and every /features/{slug}.</t>
        </is>
      </c>
      <c r="E216" s="2" t="inlineStr">
        <is>
          <t>All render with no console errors and no broken links.</t>
        </is>
      </c>
      <c r="F216" s="2" t="inlineStr">
        <is>
          <t>Browser DevTools.</t>
        </is>
      </c>
      <c r="G216" s="4" t="inlineStr">
        <is>
          <t>Not run</t>
        </is>
      </c>
      <c r="H216" s="4" t="inlineStr"/>
      <c r="I216" s="5" t="inlineStr"/>
      <c r="J216" s="4" t="inlineStr"/>
    </row>
    <row r="217">
      <c r="A217" s="2" t="inlineStr">
        <is>
          <t>21. Public Site, Enquiries and Legal</t>
        </is>
      </c>
      <c r="B217" s="3" t="inlineStr">
        <is>
          <t>PUB-02</t>
        </is>
      </c>
      <c r="C217" s="2" t="inlineStr">
        <is>
          <t>Contact enquiry is stored</t>
        </is>
      </c>
      <c r="D217" s="2" t="inlineStr">
        <is>
          <t>Submit the contact form.</t>
        </is>
      </c>
      <c r="E217" s="2" t="inlineStr">
        <is>
          <t>A row appears in enquiries and in /dashboard/enquiries. Nothing is emailed - by design.</t>
        </is>
      </c>
      <c r="F217" s="2" t="inlineStr">
        <is>
          <t>Browser + SQL.</t>
        </is>
      </c>
      <c r="G217" s="4" t="inlineStr">
        <is>
          <t>Not run</t>
        </is>
      </c>
      <c r="H217" s="4" t="inlineStr"/>
      <c r="I217" s="5" t="inlineStr"/>
      <c r="J217" s="4" t="inlineStr"/>
    </row>
    <row r="218">
      <c r="A218" s="2" t="inlineStr">
        <is>
          <t>21. Public Site, Enquiries and Legal</t>
        </is>
      </c>
      <c r="B218" s="3" t="inlineStr">
        <is>
          <t>PUB-03</t>
        </is>
      </c>
      <c r="C218" s="2" t="inlineStr">
        <is>
          <t>Meeting request</t>
        </is>
      </c>
      <c r="D218" s="2" t="inlineStr">
        <is>
          <t>Submit the booking form.</t>
        </is>
      </c>
      <c r="E218" s="2" t="inlineStr">
        <is>
          <t>Stored and visible to staff with enquiries.view.</t>
        </is>
      </c>
      <c r="F218" s="2" t="inlineStr">
        <is>
          <t>Browser.</t>
        </is>
      </c>
      <c r="G218" s="4" t="inlineStr">
        <is>
          <t>Not run</t>
        </is>
      </c>
      <c r="H218" s="4" t="inlineStr"/>
      <c r="I218" s="5" t="inlineStr"/>
      <c r="J218" s="4" t="inlineStr"/>
    </row>
    <row r="219">
      <c r="A219" s="2" t="inlineStr">
        <is>
          <t>21. Public Site, Enquiries and Legal</t>
        </is>
      </c>
      <c r="B219" s="3" t="inlineStr">
        <is>
          <t>PUB-04</t>
        </is>
      </c>
      <c r="C219" s="2" t="inlineStr">
        <is>
          <t>Honeypot silently absorbs bots</t>
        </is>
      </c>
      <c r="D219" s="2" t="inlineStr">
        <is>
          <t>POST /api/public/enquiries/contact with the 'website' field filled.</t>
        </is>
      </c>
      <c r="E219" s="2" t="inlineStr">
        <is>
          <t>Returns 202 and stores NOTHING.</t>
        </is>
      </c>
      <c r="F219" s="2" t="inlineStr">
        <is>
          <t>curl + SQL count unchanged.</t>
        </is>
      </c>
      <c r="G219" s="4" t="inlineStr">
        <is>
          <t>Not run</t>
        </is>
      </c>
      <c r="H219" s="4" t="inlineStr"/>
      <c r="I219" s="5" t="inlineStr"/>
      <c r="J219" s="4" t="inlineStr"/>
    </row>
    <row r="220">
      <c r="A220" s="2" t="inlineStr">
        <is>
          <t>21. Public Site, Enquiries and Legal</t>
        </is>
      </c>
      <c r="B220" s="3" t="inlineStr">
        <is>
          <t>PUB-05</t>
        </is>
      </c>
      <c r="C220" s="2" t="inlineStr">
        <is>
          <t>Enquiry validation</t>
        </is>
      </c>
      <c r="D220" s="2" t="inlineStr">
        <is>
          <t>Submit with a missing required field and with an oversized payload.</t>
        </is>
      </c>
      <c r="E220" s="2" t="inlineStr">
        <is>
          <t>Rejected with a validation error, never a 500.</t>
        </is>
      </c>
      <c r="F220" s="2" t="inlineStr">
        <is>
          <t>curl. A required attribute on a positional record parameter has twice caused a 500 on every request - this is the guard test.</t>
        </is>
      </c>
      <c r="G220" s="4" t="inlineStr">
        <is>
          <t>Not run</t>
        </is>
      </c>
      <c r="H220" s="4" t="inlineStr"/>
      <c r="I220" s="5" t="inlineStr"/>
      <c r="J220" s="4" t="inlineStr"/>
    </row>
    <row r="221">
      <c r="A221" s="2" t="inlineStr">
        <is>
          <t>21. Public Site, Enquiries and Legal</t>
        </is>
      </c>
      <c r="B221" s="3" t="inlineStr">
        <is>
          <t>PUB-06</t>
        </is>
      </c>
      <c r="C221" s="2" t="inlineStr">
        <is>
          <t>Enquiry status workflow</t>
        </is>
      </c>
      <c r="D221" s="2" t="inlineStr">
        <is>
          <t>POST /api/admin/enquiries/{id}/status.</t>
        </is>
      </c>
      <c r="E221" s="2" t="inlineStr">
        <is>
          <t>Status updates and is audited.</t>
        </is>
      </c>
      <c r="F221" s="2" t="inlineStr">
        <is>
          <t>Browser.</t>
        </is>
      </c>
      <c r="G221" s="4" t="inlineStr">
        <is>
          <t>Not run</t>
        </is>
      </c>
      <c r="H221" s="4" t="inlineStr"/>
      <c r="I221" s="5" t="inlineStr"/>
      <c r="J221" s="4" t="inlineStr"/>
    </row>
    <row r="222">
      <c r="A222" s="2" t="inlineStr">
        <is>
          <t>21. Public Site, Enquiries and Legal</t>
        </is>
      </c>
      <c r="B222" s="3" t="inlineStr">
        <is>
          <t>PUB-07</t>
        </is>
      </c>
      <c r="C222" s="2" t="inlineStr">
        <is>
          <t>Legal pages complete</t>
        </is>
      </c>
      <c r="D222" s="2" t="inlineStr">
        <is>
          <t>Open /privacy and /terms.</t>
        </is>
      </c>
      <c r="E222" s="2" t="inlineStr">
        <is>
          <t>Both render with working anchors. CHECK for unfilled placeholder slots - registered address, hosting region, retention periods, liability cap and governing law were left deliberately blank for the owner to supply.</t>
        </is>
      </c>
      <c r="F222" s="2" t="inlineStr">
        <is>
          <t>Browser. Shipping these with placeholders visible to customers is a real risk.</t>
        </is>
      </c>
      <c r="G222" s="4" t="inlineStr">
        <is>
          <t>Not run</t>
        </is>
      </c>
      <c r="H222" s="4" t="inlineStr"/>
      <c r="I222" s="5" t="inlineStr"/>
      <c r="J222" s="4" t="inlineStr"/>
    </row>
    <row r="223">
      <c r="A223" s="2" t="inlineStr">
        <is>
          <t>21. Public Site, Enquiries and Legal</t>
        </is>
      </c>
      <c r="B223" s="3" t="inlineStr">
        <is>
          <t>PUB-08</t>
        </is>
      </c>
      <c r="C223" s="2" t="inlineStr">
        <is>
          <t>No cookie banner is needed</t>
        </is>
      </c>
      <c r="D223" s="2" t="inlineStr">
        <is>
          <t>Inspect cookies on the public site.</t>
        </is>
      </c>
      <c r="E223" s="2" t="inlineStr">
        <is>
          <t>Session cookies only, no analytics - which is why no consent banner is present. Confirm this is still true before adding any third-party script.</t>
        </is>
      </c>
      <c r="F223" s="2" t="inlineStr">
        <is>
          <t>DevTools &gt; Application &gt; Cookies.</t>
        </is>
      </c>
      <c r="G223" s="4" t="inlineStr">
        <is>
          <t>Not run</t>
        </is>
      </c>
      <c r="H223" s="4" t="inlineStr"/>
      <c r="I223" s="5" t="inlineStr"/>
      <c r="J223" s="4" t="inlineStr"/>
    </row>
    <row r="224">
      <c r="A224" s="2" t="inlineStr">
        <is>
          <t>22. Performance, Scale and Resilience</t>
        </is>
      </c>
      <c r="B224" s="3" t="inlineStr">
        <is>
          <t>PERF-01</t>
        </is>
      </c>
      <c r="C224" s="2" t="inlineStr">
        <is>
          <t>Full re-sync duration is known</t>
        </is>
      </c>
      <c r="D224" s="2" t="inlineStr">
        <is>
          <t>Time a full re-sync: set LastSuccessfulSyncAt to null and watch until the timestamp returns.</t>
        </is>
      </c>
      <c r="E224" s="2" t="inlineStr">
        <is>
          <t>Record the duration against the ticket count. It scales roughly linearly because each ticket triggers note import, assignee resolution and a time refresh.</t>
        </is>
      </c>
      <c r="F224" s="2" t="inlineStr">
        <is>
          <t>SQL timestamps. At 135 tickets this is 15-20 minutes; plan accordingly at 1,000+.</t>
        </is>
      </c>
      <c r="G224" s="4" t="inlineStr">
        <is>
          <t>Not run</t>
        </is>
      </c>
      <c r="H224" s="4" t="inlineStr"/>
      <c r="I224" s="5" t="inlineStr"/>
      <c r="J224" s="4" t="inlineStr"/>
    </row>
    <row r="225">
      <c r="A225" s="2" t="inlineStr">
        <is>
          <t>22. Performance, Scale and Resilience</t>
        </is>
      </c>
      <c r="B225" s="3" t="inlineStr">
        <is>
          <t>PERF-02</t>
        </is>
      </c>
      <c r="C225" s="2" t="inlineStr">
        <is>
          <t>Incremental sync stays cheap</t>
        </is>
      </c>
      <c r="D225" s="2" t="inlineStr">
        <is>
          <t>Observe a quiet 5-minute cycle.</t>
        </is>
      </c>
      <c r="E225" s="2" t="inlineStr">
        <is>
          <t>Only changed tickets are processed; a no-op cycle logs nothing and simply advances the timestamp.</t>
        </is>
      </c>
      <c r="F225" s="2" t="inlineStr">
        <is>
          <t>Worker log + SQL.</t>
        </is>
      </c>
      <c r="G225" s="4" t="inlineStr">
        <is>
          <t>Not run</t>
        </is>
      </c>
      <c r="H225" s="4" t="inlineStr"/>
      <c r="I225" s="5" t="inlineStr"/>
      <c r="J225" s="4" t="inlineStr"/>
    </row>
    <row r="226">
      <c r="A226" s="2" t="inlineStr">
        <is>
          <t>22. Performance, Scale and Resilience</t>
        </is>
      </c>
      <c r="B226" s="3" t="inlineStr">
        <is>
          <t>PERF-03</t>
        </is>
      </c>
      <c r="C226" s="2" t="inlineStr">
        <is>
          <t>Page cap headroom</t>
        </is>
      </c>
      <c r="D226" s="2" t="inlineStr">
        <is>
          <t>Compare the ticket count in range with 50 pages x 100 per page.</t>
        </is>
      </c>
      <c r="E226" s="2" t="inlineStr">
        <is>
          <t>Comfortably under 5,000. Beyond that the cap truncates - and now warns.</t>
        </is>
      </c>
      <c r="F226" s="2" t="inlineStr">
        <is>
          <t>SQL + log.</t>
        </is>
      </c>
      <c r="G226" s="4" t="inlineStr">
        <is>
          <t>Not run</t>
        </is>
      </c>
      <c r="H226" s="4" t="inlineStr"/>
      <c r="I226" s="5" t="inlineStr"/>
      <c r="J226" s="4" t="inlineStr"/>
    </row>
    <row r="227">
      <c r="A227" s="2" t="inlineStr">
        <is>
          <t>22. Performance, Scale and Resilience</t>
        </is>
      </c>
      <c r="B227" s="3" t="inlineStr">
        <is>
          <t>PERF-04</t>
        </is>
      </c>
      <c r="C227" s="2" t="inlineStr">
        <is>
          <t>Ticket list performance</t>
        </is>
      </c>
      <c r="D227" s="2" t="inlineStr">
        <is>
          <t>Load the ticket list for the largest client.</t>
        </is>
      </c>
      <c r="E227" s="2" t="inlineStr">
        <is>
          <t>Loads within an acceptable time; the supporting indexes are in place.</t>
        </is>
      </c>
      <c r="F227" s="2" t="inlineStr">
        <is>
          <t>Browser timing + EXPLAIN on the query.</t>
        </is>
      </c>
      <c r="G227" s="4" t="inlineStr">
        <is>
          <t>Not run</t>
        </is>
      </c>
      <c r="H227" s="4" t="inlineStr"/>
      <c r="I227" s="5" t="inlineStr"/>
      <c r="J227" s="4" t="inlineStr"/>
    </row>
    <row r="228">
      <c r="A228" s="2" t="inlineStr">
        <is>
          <t>22. Performance, Scale and Resilience</t>
        </is>
      </c>
      <c r="B228" s="3" t="inlineStr">
        <is>
          <t>PERF-05</t>
        </is>
      </c>
      <c r="C228" s="2" t="inlineStr">
        <is>
          <t>Concurrent users</t>
        </is>
      </c>
      <c r="D228" s="2" t="inlineStr">
        <is>
          <t>Have several testers use the portal simultaneously during a sync.</t>
        </is>
      </c>
      <c r="E228" s="2" t="inlineStr">
        <is>
          <t>No deadlocks or timeouts; the rollup's batched deletes do not block dashboard reads.</t>
        </is>
      </c>
      <c r="F228" s="2" t="inlineStr">
        <is>
          <t>Observation + database locks.</t>
        </is>
      </c>
      <c r="G228" s="4" t="inlineStr">
        <is>
          <t>Not run</t>
        </is>
      </c>
      <c r="H228" s="4" t="inlineStr"/>
      <c r="I228" s="5" t="inlineStr"/>
      <c r="J228" s="4" t="inlineStr"/>
    </row>
    <row r="229">
      <c r="A229" s="2" t="inlineStr">
        <is>
          <t>22. Performance, Scale and Resilience</t>
        </is>
      </c>
      <c r="B229" s="3" t="inlineStr">
        <is>
          <t>PERF-06</t>
        </is>
      </c>
      <c r="C229" s="2" t="inlineStr">
        <is>
          <t>Recovery after an outage</t>
        </is>
      </c>
      <c r="D229" s="2" t="inlineStr">
        <is>
          <t>Stop the PSA connection (or the database) briefly, then restore it.</t>
        </is>
      </c>
      <c r="E229" s="2" t="inlineStr">
        <is>
          <t>The worker resumes on the next cycle without manual intervention, and a failed pass repairs itself rather than leaving a permanent hole.</t>
        </is>
      </c>
      <c r="F229" s="2" t="inlineStr">
        <is>
          <t>Worker log.</t>
        </is>
      </c>
      <c r="G229" s="4" t="inlineStr">
        <is>
          <t>Not run</t>
        </is>
      </c>
      <c r="H229" s="4" t="inlineStr"/>
      <c r="I229" s="5" t="inlineStr"/>
      <c r="J229" s="4" t="inlineStr"/>
    </row>
    <row r="230">
      <c r="A230" s="2" t="inlineStr">
        <is>
          <t>23. Regression Traps - Defects Already Found in This Build</t>
        </is>
      </c>
      <c r="B230" s="3" t="inlineStr">
        <is>
          <t>REG-01</t>
        </is>
      </c>
      <c r="C230" s="2" t="inlineStr">
        <is>
          <t>Sync imports EVERY ticket, not the first page</t>
        </is>
      </c>
      <c r="D230" s="2" t="inlineStr">
        <is>
          <t>Full re-sync with more tickets than the page size.</t>
        </is>
      </c>
      <c r="E230" s="2" t="inlineStr">
        <is>
          <t>Count matches the PSA. Regression symptom: exactly 100 (or N x 100) tickets.</t>
        </is>
      </c>
      <c r="F230" s="2" t="inlineStr">
        <is>
          <t>SQL vs PSA count.</t>
        </is>
      </c>
      <c r="G230" s="4" t="inlineStr">
        <is>
          <t>Not run</t>
        </is>
      </c>
      <c r="H230" s="4" t="inlineStr"/>
      <c r="I230" s="5" t="inlineStr"/>
      <c r="J230" s="4" t="inlineStr"/>
    </row>
    <row r="231">
      <c r="A231" s="2" t="inlineStr">
        <is>
          <t>23. Regression Traps - Defects Already Found in This Build</t>
        </is>
      </c>
      <c r="B231" s="3" t="inlineStr">
        <is>
          <t>REG-02</t>
        </is>
      </c>
      <c r="C231" s="2" t="inlineStr">
        <is>
          <t>Every written field is in the update hash</t>
        </is>
      </c>
      <c r="D231" s="2" t="inlineStr">
        <is>
          <t>Change one field at a time in the PSA and sync.</t>
        </is>
      </c>
      <c r="E231" s="2" t="inlineStr">
        <is>
          <t>Each change lands. Regression symptom: a field that never updates on existing rows while new tickets look correct.</t>
        </is>
      </c>
      <c r="F231" s="2" t="inlineStr">
        <is>
          <t>SQL per field. Has occurred for the raise date and for the queue.</t>
        </is>
      </c>
      <c r="G231" s="4" t="inlineStr">
        <is>
          <t>Not run</t>
        </is>
      </c>
      <c r="H231" s="4" t="inlineStr"/>
      <c r="I231" s="5" t="inlineStr"/>
      <c r="J231" s="4" t="inlineStr"/>
    </row>
    <row r="232">
      <c r="A232" s="2" t="inlineStr">
        <is>
          <t>23. Regression Traps - Defects Already Found in This Build</t>
        </is>
      </c>
      <c r="B232" s="3" t="inlineStr">
        <is>
          <t>REG-03</t>
        </is>
      </c>
      <c r="C232" s="2" t="inlineStr">
        <is>
          <t>Mapping actually maps</t>
        </is>
      </c>
      <c r="D232" s="2" t="inlineStr">
        <is>
          <t>After any connector change, check PsaStatus versus PortalStatus.</t>
        </is>
      </c>
      <c r="E232" s="2" t="inlineStr">
        <is>
          <t>They differ wherever a rule exists. Regression symptom: PsaStatus = PortalStatus on every row, which looks exactly like a deliberate pass-through.</t>
        </is>
      </c>
      <c r="F232" s="2" t="inlineStr">
        <is>
          <t>SQL.</t>
        </is>
      </c>
      <c r="G232" s="4" t="inlineStr">
        <is>
          <t>Not run</t>
        </is>
      </c>
      <c r="H232" s="4" t="inlineStr"/>
      <c r="I232" s="5" t="inlineStr"/>
      <c r="J232" s="4" t="inlineStr"/>
    </row>
    <row r="233">
      <c r="A233" s="2" t="inlineStr">
        <is>
          <t>23. Regression Traps - Defects Already Found in This Build</t>
        </is>
      </c>
      <c r="B233" s="3" t="inlineStr">
        <is>
          <t>REG-04</t>
        </is>
      </c>
      <c r="C233" s="2" t="inlineStr">
        <is>
          <t>Discovery offers what tickets arrive with</t>
        </is>
      </c>
      <c r="D233" s="2" t="inlineStr">
        <is>
          <t>Save a mapping through the UI, then sync.</t>
        </is>
      </c>
      <c r="E233" s="2" t="inlineStr">
        <is>
          <t>The saved rule matches incoming tickets. Regression symptom: rules hold ids while tickets carry names.</t>
        </is>
      </c>
      <c r="F233" s="2" t="inlineStr">
        <is>
          <t>SQL + the certification tests.</t>
        </is>
      </c>
      <c r="G233" s="4" t="inlineStr">
        <is>
          <t>Not run</t>
        </is>
      </c>
      <c r="H233" s="4" t="inlineStr"/>
      <c r="I233" s="5" t="inlineStr"/>
      <c r="J233" s="4" t="inlineStr"/>
    </row>
    <row r="234">
      <c r="A234" s="2" t="inlineStr">
        <is>
          <t>23. Regression Traps - Defects Already Found in This Build</t>
        </is>
      </c>
      <c r="B234" s="3" t="inlineStr">
        <is>
          <t>REG-05</t>
        </is>
      </c>
      <c r="C234" s="2" t="inlineStr">
        <is>
          <t>Autotask next page is POSTed</t>
        </is>
      </c>
      <c r="D234" s="2" t="inlineStr">
        <is>
          <t>Full Autotask re-sync spanning more than one page.</t>
        </is>
      </c>
      <c r="E234" s="2" t="inlineStr">
        <is>
          <t>No 405 'does not support http method GET'.</t>
        </is>
      </c>
      <c r="F234" s="2" t="inlineStr">
        <is>
          <t>Worker log.</t>
        </is>
      </c>
      <c r="G234" s="4" t="inlineStr">
        <is>
          <t>Not run</t>
        </is>
      </c>
      <c r="H234" s="4" t="inlineStr"/>
      <c r="I234" s="5" t="inlineStr"/>
      <c r="J234" s="4" t="inlineStr"/>
    </row>
    <row r="235">
      <c r="A235" s="2" t="inlineStr">
        <is>
          <t>23. Regression Traps - Defects Already Found in This Build</t>
        </is>
      </c>
      <c r="B235" s="3" t="inlineStr">
        <is>
          <t>REG-06</t>
        </is>
      </c>
      <c r="C235" s="2" t="inlineStr">
        <is>
          <t>Note title does not duplicate the body</t>
        </is>
      </c>
      <c r="D235" s="2" t="inlineStr">
        <is>
          <t>Post a long note to Autotask.</t>
        </is>
      </c>
      <c r="E235" s="2" t="inlineStr">
        <is>
          <t>Rendered once.</t>
        </is>
      </c>
      <c r="F235" s="2" t="inlineStr">
        <is>
          <t>Autotask UI.</t>
        </is>
      </c>
      <c r="G235" s="4" t="inlineStr">
        <is>
          <t>Not run</t>
        </is>
      </c>
      <c r="H235" s="4" t="inlineStr"/>
      <c r="I235" s="5" t="inlineStr"/>
      <c r="J235" s="4" t="inlineStr"/>
    </row>
    <row r="236">
      <c r="A236" s="2" t="inlineStr">
        <is>
          <t>23. Regression Traps - Defects Already Found in This Build</t>
        </is>
      </c>
      <c r="B236" s="3" t="inlineStr">
        <is>
          <t>REG-07</t>
        </is>
      </c>
      <c r="C236" s="2" t="inlineStr">
        <is>
          <t>Internal notes are not dropped</t>
        </is>
      </c>
      <c r="D236" s="2" t="inlineStr">
        <is>
          <t>Autotask time entry with internal-only text.</t>
        </is>
      </c>
      <c r="E236" s="2" t="inlineStr">
        <is>
          <t>Text preserved.</t>
        </is>
      </c>
      <c r="F236" s="2" t="inlineStr">
        <is>
          <t>Portal thread.</t>
        </is>
      </c>
      <c r="G236" s="4" t="inlineStr">
        <is>
          <t>Not run</t>
        </is>
      </c>
      <c r="H236" s="4" t="inlineStr"/>
      <c r="I236" s="5" t="inlineStr"/>
      <c r="J236" s="4" t="inlineStr"/>
    </row>
    <row r="237">
      <c r="A237" s="2" t="inlineStr">
        <is>
          <t>23. Regression Traps - Defects Already Found in This Build</t>
        </is>
      </c>
      <c r="B237" s="3" t="inlineStr">
        <is>
          <t>REG-08</t>
        </is>
      </c>
      <c r="C237" s="2" t="inlineStr">
        <is>
          <t>Retired picklist values are filtered</t>
        </is>
      </c>
      <c r="D237" s="2" t="inlineStr">
        <is>
          <t>Retire a value in the PSA and refresh fields.</t>
        </is>
      </c>
      <c r="E237" s="2" t="inlineStr">
        <is>
          <t>Not offered; existing rules flagged.</t>
        </is>
      </c>
      <c r="F237" s="2" t="inlineStr">
        <is>
          <t>Browser.</t>
        </is>
      </c>
      <c r="G237" s="4" t="inlineStr">
        <is>
          <t>Not run</t>
        </is>
      </c>
      <c r="H237" s="4" t="inlineStr"/>
      <c r="I237" s="5" t="inlineStr"/>
      <c r="J237" s="4" t="inlineStr"/>
    </row>
    <row r="238">
      <c r="A238" s="2" t="inlineStr">
        <is>
          <t>23. Regression Traps - Defects Already Found in This Build</t>
        </is>
      </c>
      <c r="B238" s="3" t="inlineStr">
        <is>
          <t>REG-09</t>
        </is>
      </c>
      <c r="C238" s="2" t="inlineStr">
        <is>
          <t>Rollup builds history, not just the last week</t>
        </is>
      </c>
      <c r="D238" s="2" t="inlineStr">
        <is>
          <t>Insert an event older than seven days and run the rollup.</t>
        </is>
      </c>
      <c r="E238" s="2" t="inlineStr">
        <is>
          <t>A fact is created for it.</t>
        </is>
      </c>
      <c r="F238" s="2" t="inlineStr">
        <is>
          <t>SQL.</t>
        </is>
      </c>
      <c r="G238" s="4" t="inlineStr">
        <is>
          <t>Not run</t>
        </is>
      </c>
      <c r="H238" s="4" t="inlineStr"/>
      <c r="I238" s="5" t="inlineStr"/>
      <c r="J238" s="4" t="inlineStr"/>
    </row>
    <row r="239">
      <c r="A239" s="2" t="inlineStr">
        <is>
          <t>23. Regression Traps - Defects Already Found in This Build</t>
        </is>
      </c>
      <c r="B239" s="3" t="inlineStr">
        <is>
          <t>REG-10</t>
        </is>
      </c>
      <c r="C239" s="2" t="inlineStr">
        <is>
          <t>Fakes must not be more permissive than the real API</t>
        </is>
      </c>
      <c r="D239" s="2" t="inlineStr">
        <is>
          <t>When adding connector behaviour, make the in-memory fake enforce what the provider enforces.</t>
        </is>
      </c>
      <c r="E239" s="2" t="inlineStr">
        <is>
          <t>The unit suite fails before production does. Every connector bug in this list was hidden at least once by a fake that accepted something the real API rejects.</t>
        </is>
      </c>
      <c r="F239" s="2" t="inlineStr">
        <is>
          <t>dotnet test tests/unit.</t>
        </is>
      </c>
      <c r="G239" s="4" t="inlineStr">
        <is>
          <t>Not run</t>
        </is>
      </c>
      <c r="H239" s="4" t="inlineStr"/>
      <c r="I239" s="5" t="inlineStr"/>
      <c r="J239" s="4" t="inlineStr"/>
    </row>
  </sheetData>
  <autoFilter ref="A1:J239"/>
  <conditionalFormatting sqref="G2:G239">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G2:G239" showDropDown="0" showInputMessage="0" showErrorMessage="0" allowBlank="1" promptTitle="Result" prompt="Pick a result" type="list">
      <formula1>"Not run,Pass,Fail,Blocked,N/A"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s>
  <sheetData>
    <row r="1">
      <c r="A1" s="6" t="inlineStr">
        <is>
          <t>Progress by module</t>
        </is>
      </c>
    </row>
    <row r="2" ht="26" customHeight="1">
      <c r="A2" s="7" t="inlineStr">
        <is>
          <t>Every figure here is a formula over the Test Cases sheet, so it updates itself as testers fill in the Result column. Nothing on this sheet should be typed into.</t>
        </is>
      </c>
    </row>
    <row r="4">
      <c r="A4" s="8" t="inlineStr">
        <is>
          <t>Module</t>
        </is>
      </c>
      <c r="B4" s="9" t="inlineStr">
        <is>
          <t>Cases</t>
        </is>
      </c>
      <c r="C4" s="9" t="inlineStr">
        <is>
          <t>Pass</t>
        </is>
      </c>
      <c r="D4" s="9" t="inlineStr">
        <is>
          <t>Fail</t>
        </is>
      </c>
      <c r="E4" s="9" t="inlineStr">
        <is>
          <t>Blocked</t>
        </is>
      </c>
      <c r="F4" s="9" t="inlineStr">
        <is>
          <t>Not run</t>
        </is>
      </c>
      <c r="G4" s="9" t="inlineStr">
        <is>
          <t>% done</t>
        </is>
      </c>
    </row>
    <row r="5">
      <c r="A5" s="10" t="inlineStr">
        <is>
          <t>1. Environment, Build and Deployment</t>
        </is>
      </c>
      <c r="B5" s="11">
        <f>COUNTIF('Test Cases'!$A$2:$A$239,$A5)</f>
        <v/>
      </c>
      <c r="C5" s="11">
        <f>COUNTIFS('Test Cases'!$A$2:$A$239,$A5,'Test Cases'!$G$2:$G$239,"Pass")</f>
        <v/>
      </c>
      <c r="D5" s="11">
        <f>COUNTIFS('Test Cases'!$A$2:$A$239,$A5,'Test Cases'!$G$2:$G$239,"Fail")</f>
        <v/>
      </c>
      <c r="E5" s="11">
        <f>COUNTIFS('Test Cases'!$A$2:$A$239,$A5,'Test Cases'!$G$2:$G$239,"Blocked")</f>
        <v/>
      </c>
      <c r="F5" s="11">
        <f>COUNTIFS('Test Cases'!$A$2:$A$239,$A5,'Test Cases'!$G$2:$G$239,"Not run")</f>
        <v/>
      </c>
      <c r="G5" s="12">
        <f>IFERROR(($C5+$D5+$E5)/$B5,0)</f>
        <v/>
      </c>
    </row>
    <row r="6">
      <c r="A6" s="13" t="inlineStr">
        <is>
          <t>2. Authentication and Session</t>
        </is>
      </c>
      <c r="B6" s="14">
        <f>COUNTIF('Test Cases'!$A$2:$A$239,$A6)</f>
        <v/>
      </c>
      <c r="C6" s="14">
        <f>COUNTIFS('Test Cases'!$A$2:$A$239,$A6,'Test Cases'!$G$2:$G$239,"Pass")</f>
        <v/>
      </c>
      <c r="D6" s="14">
        <f>COUNTIFS('Test Cases'!$A$2:$A$239,$A6,'Test Cases'!$G$2:$G$239,"Fail")</f>
        <v/>
      </c>
      <c r="E6" s="14">
        <f>COUNTIFS('Test Cases'!$A$2:$A$239,$A6,'Test Cases'!$G$2:$G$239,"Blocked")</f>
        <v/>
      </c>
      <c r="F6" s="14">
        <f>COUNTIFS('Test Cases'!$A$2:$A$239,$A6,'Test Cases'!$G$2:$G$239,"Not run")</f>
        <v/>
      </c>
      <c r="G6" s="15">
        <f>IFERROR(($C6+$D6+$E6)/$B6,0)</f>
        <v/>
      </c>
    </row>
    <row r="7">
      <c r="A7" s="10" t="inlineStr">
        <is>
          <t>3. Tenant Isolation and Security</t>
        </is>
      </c>
      <c r="B7" s="11">
        <f>COUNTIF('Test Cases'!$A$2:$A$239,$A7)</f>
        <v/>
      </c>
      <c r="C7" s="11">
        <f>COUNTIFS('Test Cases'!$A$2:$A$239,$A7,'Test Cases'!$G$2:$G$239,"Pass")</f>
        <v/>
      </c>
      <c r="D7" s="11">
        <f>COUNTIFS('Test Cases'!$A$2:$A$239,$A7,'Test Cases'!$G$2:$G$239,"Fail")</f>
        <v/>
      </c>
      <c r="E7" s="11">
        <f>COUNTIFS('Test Cases'!$A$2:$A$239,$A7,'Test Cases'!$G$2:$G$239,"Blocked")</f>
        <v/>
      </c>
      <c r="F7" s="11">
        <f>COUNTIFS('Test Cases'!$A$2:$A$239,$A7,'Test Cases'!$G$2:$G$239,"Not run")</f>
        <v/>
      </c>
      <c r="G7" s="12">
        <f>IFERROR(($C7+$D7+$E7)/$B7,0)</f>
        <v/>
      </c>
    </row>
    <row r="8">
      <c r="A8" s="13" t="inlineStr">
        <is>
          <t>4. Roles and Permissions</t>
        </is>
      </c>
      <c r="B8" s="14">
        <f>COUNTIF('Test Cases'!$A$2:$A$239,$A8)</f>
        <v/>
      </c>
      <c r="C8" s="14">
        <f>COUNTIFS('Test Cases'!$A$2:$A$239,$A8,'Test Cases'!$G$2:$G$239,"Pass")</f>
        <v/>
      </c>
      <c r="D8" s="14">
        <f>COUNTIFS('Test Cases'!$A$2:$A$239,$A8,'Test Cases'!$G$2:$G$239,"Fail")</f>
        <v/>
      </c>
      <c r="E8" s="14">
        <f>COUNTIFS('Test Cases'!$A$2:$A$239,$A8,'Test Cases'!$G$2:$G$239,"Blocked")</f>
        <v/>
      </c>
      <c r="F8" s="14">
        <f>COUNTIFS('Test Cases'!$A$2:$A$239,$A8,'Test Cases'!$G$2:$G$239,"Not run")</f>
        <v/>
      </c>
      <c r="G8" s="15">
        <f>IFERROR(($C8+$D8+$E8)/$B8,0)</f>
        <v/>
      </c>
    </row>
    <row r="9">
      <c r="A9" s="10" t="inlineStr">
        <is>
          <t>5. Staff Users and Technician Registration</t>
        </is>
      </c>
      <c r="B9" s="11">
        <f>COUNTIF('Test Cases'!$A$2:$A$239,$A9)</f>
        <v/>
      </c>
      <c r="C9" s="11">
        <f>COUNTIFS('Test Cases'!$A$2:$A$239,$A9,'Test Cases'!$G$2:$G$239,"Pass")</f>
        <v/>
      </c>
      <c r="D9" s="11">
        <f>COUNTIFS('Test Cases'!$A$2:$A$239,$A9,'Test Cases'!$G$2:$G$239,"Fail")</f>
        <v/>
      </c>
      <c r="E9" s="11">
        <f>COUNTIFS('Test Cases'!$A$2:$A$239,$A9,'Test Cases'!$G$2:$G$239,"Blocked")</f>
        <v/>
      </c>
      <c r="F9" s="11">
        <f>COUNTIFS('Test Cases'!$A$2:$A$239,$A9,'Test Cases'!$G$2:$G$239,"Not run")</f>
        <v/>
      </c>
      <c r="G9" s="12">
        <f>IFERROR(($C9+$D9+$E9)/$B9,0)</f>
        <v/>
      </c>
    </row>
    <row r="10">
      <c r="A10" s="13" t="inlineStr">
        <is>
          <t>6. Departments and Teams</t>
        </is>
      </c>
      <c r="B10" s="14">
        <f>COUNTIF('Test Cases'!$A$2:$A$239,$A10)</f>
        <v/>
      </c>
      <c r="C10" s="14">
        <f>COUNTIFS('Test Cases'!$A$2:$A$239,$A10,'Test Cases'!$G$2:$G$239,"Pass")</f>
        <v/>
      </c>
      <c r="D10" s="14">
        <f>COUNTIFS('Test Cases'!$A$2:$A$239,$A10,'Test Cases'!$G$2:$G$239,"Fail")</f>
        <v/>
      </c>
      <c r="E10" s="14">
        <f>COUNTIFS('Test Cases'!$A$2:$A$239,$A10,'Test Cases'!$G$2:$G$239,"Blocked")</f>
        <v/>
      </c>
      <c r="F10" s="14">
        <f>COUNTIFS('Test Cases'!$A$2:$A$239,$A10,'Test Cases'!$G$2:$G$239,"Not run")</f>
        <v/>
      </c>
      <c r="G10" s="15">
        <f>IFERROR(($C10+$D10+$E10)/$B10,0)</f>
        <v/>
      </c>
    </row>
    <row r="11">
      <c r="A11" s="10" t="inlineStr">
        <is>
          <t>7. Client Users and the Client Portal</t>
        </is>
      </c>
      <c r="B11" s="11">
        <f>COUNTIF('Test Cases'!$A$2:$A$239,$A11)</f>
        <v/>
      </c>
      <c r="C11" s="11">
        <f>COUNTIFS('Test Cases'!$A$2:$A$239,$A11,'Test Cases'!$G$2:$G$239,"Pass")</f>
        <v/>
      </c>
      <c r="D11" s="11">
        <f>COUNTIFS('Test Cases'!$A$2:$A$239,$A11,'Test Cases'!$G$2:$G$239,"Fail")</f>
        <v/>
      </c>
      <c r="E11" s="11">
        <f>COUNTIFS('Test Cases'!$A$2:$A$239,$A11,'Test Cases'!$G$2:$G$239,"Blocked")</f>
        <v/>
      </c>
      <c r="F11" s="11">
        <f>COUNTIFS('Test Cases'!$A$2:$A$239,$A11,'Test Cases'!$G$2:$G$239,"Not run")</f>
        <v/>
      </c>
      <c r="G11" s="12">
        <f>IFERROR(($C11+$D11+$E11)/$B11,0)</f>
        <v/>
      </c>
    </row>
    <row r="12">
      <c r="A12" s="13" t="inlineStr">
        <is>
          <t>8. PSA Connections</t>
        </is>
      </c>
      <c r="B12" s="14">
        <f>COUNTIF('Test Cases'!$A$2:$A$239,$A12)</f>
        <v/>
      </c>
      <c r="C12" s="14">
        <f>COUNTIFS('Test Cases'!$A$2:$A$239,$A12,'Test Cases'!$G$2:$G$239,"Pass")</f>
        <v/>
      </c>
      <c r="D12" s="14">
        <f>COUNTIFS('Test Cases'!$A$2:$A$239,$A12,'Test Cases'!$G$2:$G$239,"Fail")</f>
        <v/>
      </c>
      <c r="E12" s="14">
        <f>COUNTIFS('Test Cases'!$A$2:$A$239,$A12,'Test Cases'!$G$2:$G$239,"Blocked")</f>
        <v/>
      </c>
      <c r="F12" s="14">
        <f>COUNTIFS('Test Cases'!$A$2:$A$239,$A12,'Test Cases'!$G$2:$G$239,"Not run")</f>
        <v/>
      </c>
      <c r="G12" s="15">
        <f>IFERROR(($C12+$D12+$E12)/$B12,0)</f>
        <v/>
      </c>
    </row>
    <row r="13">
      <c r="A13" s="10" t="inlineStr">
        <is>
          <t>9. Field Mapping</t>
        </is>
      </c>
      <c r="B13" s="11">
        <f>COUNTIF('Test Cases'!$A$2:$A$239,$A13)</f>
        <v/>
      </c>
      <c r="C13" s="11">
        <f>COUNTIFS('Test Cases'!$A$2:$A$239,$A13,'Test Cases'!$G$2:$G$239,"Pass")</f>
        <v/>
      </c>
      <c r="D13" s="11">
        <f>COUNTIFS('Test Cases'!$A$2:$A$239,$A13,'Test Cases'!$G$2:$G$239,"Fail")</f>
        <v/>
      </c>
      <c r="E13" s="11">
        <f>COUNTIFS('Test Cases'!$A$2:$A$239,$A13,'Test Cases'!$G$2:$G$239,"Blocked")</f>
        <v/>
      </c>
      <c r="F13" s="11">
        <f>COUNTIFS('Test Cases'!$A$2:$A$239,$A13,'Test Cases'!$G$2:$G$239,"Not run")</f>
        <v/>
      </c>
      <c r="G13" s="12">
        <f>IFERROR(($C13+$D13+$E13)/$B13,0)</f>
        <v/>
      </c>
    </row>
    <row r="14">
      <c r="A14" s="13" t="inlineStr">
        <is>
          <t>10. Ticket Sync Engine</t>
        </is>
      </c>
      <c r="B14" s="14">
        <f>COUNTIF('Test Cases'!$A$2:$A$239,$A14)</f>
        <v/>
      </c>
      <c r="C14" s="14">
        <f>COUNTIFS('Test Cases'!$A$2:$A$239,$A14,'Test Cases'!$G$2:$G$239,"Pass")</f>
        <v/>
      </c>
      <c r="D14" s="14">
        <f>COUNTIFS('Test Cases'!$A$2:$A$239,$A14,'Test Cases'!$G$2:$G$239,"Fail")</f>
        <v/>
      </c>
      <c r="E14" s="14">
        <f>COUNTIFS('Test Cases'!$A$2:$A$239,$A14,'Test Cases'!$G$2:$G$239,"Blocked")</f>
        <v/>
      </c>
      <c r="F14" s="14">
        <f>COUNTIFS('Test Cases'!$A$2:$A$239,$A14,'Test Cases'!$G$2:$G$239,"Not run")</f>
        <v/>
      </c>
      <c r="G14" s="15">
        <f>IFERROR(($C14+$D14+$E14)/$B14,0)</f>
        <v/>
      </c>
    </row>
    <row r="15">
      <c r="A15" s="10" t="inlineStr">
        <is>
          <t>11. Ticket Lifecycle in the Portal</t>
        </is>
      </c>
      <c r="B15" s="11">
        <f>COUNTIF('Test Cases'!$A$2:$A$239,$A15)</f>
        <v/>
      </c>
      <c r="C15" s="11">
        <f>COUNTIFS('Test Cases'!$A$2:$A$239,$A15,'Test Cases'!$G$2:$G$239,"Pass")</f>
        <v/>
      </c>
      <c r="D15" s="11">
        <f>COUNTIFS('Test Cases'!$A$2:$A$239,$A15,'Test Cases'!$G$2:$G$239,"Fail")</f>
        <v/>
      </c>
      <c r="E15" s="11">
        <f>COUNTIFS('Test Cases'!$A$2:$A$239,$A15,'Test Cases'!$G$2:$G$239,"Blocked")</f>
        <v/>
      </c>
      <c r="F15" s="11">
        <f>COUNTIFS('Test Cases'!$A$2:$A$239,$A15,'Test Cases'!$G$2:$G$239,"Not run")</f>
        <v/>
      </c>
      <c r="G15" s="12">
        <f>IFERROR(($C15+$D15+$E15)/$B15,0)</f>
        <v/>
      </c>
    </row>
    <row r="16">
      <c r="A16" s="13" t="inlineStr">
        <is>
          <t>12. Notes, Conversation and Recipients</t>
        </is>
      </c>
      <c r="B16" s="14">
        <f>COUNTIF('Test Cases'!$A$2:$A$239,$A16)</f>
        <v/>
      </c>
      <c r="C16" s="14">
        <f>COUNTIFS('Test Cases'!$A$2:$A$239,$A16,'Test Cases'!$G$2:$G$239,"Pass")</f>
        <v/>
      </c>
      <c r="D16" s="14">
        <f>COUNTIFS('Test Cases'!$A$2:$A$239,$A16,'Test Cases'!$G$2:$G$239,"Fail")</f>
        <v/>
      </c>
      <c r="E16" s="14">
        <f>COUNTIFS('Test Cases'!$A$2:$A$239,$A16,'Test Cases'!$G$2:$G$239,"Blocked")</f>
        <v/>
      </c>
      <c r="F16" s="14">
        <f>COUNTIFS('Test Cases'!$A$2:$A$239,$A16,'Test Cases'!$G$2:$G$239,"Not run")</f>
        <v/>
      </c>
      <c r="G16" s="15">
        <f>IFERROR(($C16+$D16+$E16)/$B16,0)</f>
        <v/>
      </c>
    </row>
    <row r="17">
      <c r="A17" s="10" t="inlineStr">
        <is>
          <t>13. Time Tracking</t>
        </is>
      </c>
      <c r="B17" s="11">
        <f>COUNTIF('Test Cases'!$A$2:$A$239,$A17)</f>
        <v/>
      </c>
      <c r="C17" s="11">
        <f>COUNTIFS('Test Cases'!$A$2:$A$239,$A17,'Test Cases'!$G$2:$G$239,"Pass")</f>
        <v/>
      </c>
      <c r="D17" s="11">
        <f>COUNTIFS('Test Cases'!$A$2:$A$239,$A17,'Test Cases'!$G$2:$G$239,"Fail")</f>
        <v/>
      </c>
      <c r="E17" s="11">
        <f>COUNTIFS('Test Cases'!$A$2:$A$239,$A17,'Test Cases'!$G$2:$G$239,"Blocked")</f>
        <v/>
      </c>
      <c r="F17" s="11">
        <f>COUNTIFS('Test Cases'!$A$2:$A$239,$A17,'Test Cases'!$G$2:$G$239,"Not run")</f>
        <v/>
      </c>
      <c r="G17" s="12">
        <f>IFERROR(($C17+$D17+$E17)/$B17,0)</f>
        <v/>
      </c>
    </row>
    <row r="18">
      <c r="A18" s="13" t="inlineStr">
        <is>
          <t>14. Attachments</t>
        </is>
      </c>
      <c r="B18" s="14">
        <f>COUNTIF('Test Cases'!$A$2:$A$239,$A18)</f>
        <v/>
      </c>
      <c r="C18" s="14">
        <f>COUNTIFS('Test Cases'!$A$2:$A$239,$A18,'Test Cases'!$G$2:$G$239,"Pass")</f>
        <v/>
      </c>
      <c r="D18" s="14">
        <f>COUNTIFS('Test Cases'!$A$2:$A$239,$A18,'Test Cases'!$G$2:$G$239,"Fail")</f>
        <v/>
      </c>
      <c r="E18" s="14">
        <f>COUNTIFS('Test Cases'!$A$2:$A$239,$A18,'Test Cases'!$G$2:$G$239,"Blocked")</f>
        <v/>
      </c>
      <c r="F18" s="14">
        <f>COUNTIFS('Test Cases'!$A$2:$A$239,$A18,'Test Cases'!$G$2:$G$239,"Not run")</f>
        <v/>
      </c>
      <c r="G18" s="15">
        <f>IFERROR(($C18+$D18+$E18)/$B18,0)</f>
        <v/>
      </c>
    </row>
    <row r="19">
      <c r="A19" s="10" t="inlineStr">
        <is>
          <t>15. Productivity and Analytics</t>
        </is>
      </c>
      <c r="B19" s="11">
        <f>COUNTIF('Test Cases'!$A$2:$A$239,$A19)</f>
        <v/>
      </c>
      <c r="C19" s="11">
        <f>COUNTIFS('Test Cases'!$A$2:$A$239,$A19,'Test Cases'!$G$2:$G$239,"Pass")</f>
        <v/>
      </c>
      <c r="D19" s="11">
        <f>COUNTIFS('Test Cases'!$A$2:$A$239,$A19,'Test Cases'!$G$2:$G$239,"Fail")</f>
        <v/>
      </c>
      <c r="E19" s="11">
        <f>COUNTIFS('Test Cases'!$A$2:$A$239,$A19,'Test Cases'!$G$2:$G$239,"Blocked")</f>
        <v/>
      </c>
      <c r="F19" s="11">
        <f>COUNTIFS('Test Cases'!$A$2:$A$239,$A19,'Test Cases'!$G$2:$G$239,"Not run")</f>
        <v/>
      </c>
      <c r="G19" s="12">
        <f>IFERROR(($C19+$D19+$E19)/$B19,0)</f>
        <v/>
      </c>
    </row>
    <row r="20">
      <c r="A20" s="13" t="inlineStr">
        <is>
          <t>16. Activity Events and Daily Rollup</t>
        </is>
      </c>
      <c r="B20" s="14">
        <f>COUNTIF('Test Cases'!$A$2:$A$239,$A20)</f>
        <v/>
      </c>
      <c r="C20" s="14">
        <f>COUNTIFS('Test Cases'!$A$2:$A$239,$A20,'Test Cases'!$G$2:$G$239,"Pass")</f>
        <v/>
      </c>
      <c r="D20" s="14">
        <f>COUNTIFS('Test Cases'!$A$2:$A$239,$A20,'Test Cases'!$G$2:$G$239,"Fail")</f>
        <v/>
      </c>
      <c r="E20" s="14">
        <f>COUNTIFS('Test Cases'!$A$2:$A$239,$A20,'Test Cases'!$G$2:$G$239,"Blocked")</f>
        <v/>
      </c>
      <c r="F20" s="14">
        <f>COUNTIFS('Test Cases'!$A$2:$A$239,$A20,'Test Cases'!$G$2:$G$239,"Not run")</f>
        <v/>
      </c>
      <c r="G20" s="15">
        <f>IFERROR(($C20+$D20+$E20)/$B20,0)</f>
        <v/>
      </c>
    </row>
    <row r="21">
      <c r="A21" s="10" t="inlineStr">
        <is>
          <t>17. Client Control Panel</t>
        </is>
      </c>
      <c r="B21" s="11">
        <f>COUNTIF('Test Cases'!$A$2:$A$239,$A21)</f>
        <v/>
      </c>
      <c r="C21" s="11">
        <f>COUNTIFS('Test Cases'!$A$2:$A$239,$A21,'Test Cases'!$G$2:$G$239,"Pass")</f>
        <v/>
      </c>
      <c r="D21" s="11">
        <f>COUNTIFS('Test Cases'!$A$2:$A$239,$A21,'Test Cases'!$G$2:$G$239,"Fail")</f>
        <v/>
      </c>
      <c r="E21" s="11">
        <f>COUNTIFS('Test Cases'!$A$2:$A$239,$A21,'Test Cases'!$G$2:$G$239,"Blocked")</f>
        <v/>
      </c>
      <c r="F21" s="11">
        <f>COUNTIFS('Test Cases'!$A$2:$A$239,$A21,'Test Cases'!$G$2:$G$239,"Not run")</f>
        <v/>
      </c>
      <c r="G21" s="12">
        <f>IFERROR(($C21+$D21+$E21)/$B21,0)</f>
        <v/>
      </c>
    </row>
    <row r="22">
      <c r="A22" s="13" t="inlineStr">
        <is>
          <t>18. Reports, Export and Scheduling</t>
        </is>
      </c>
      <c r="B22" s="14">
        <f>COUNTIF('Test Cases'!$A$2:$A$239,$A22)</f>
        <v/>
      </c>
      <c r="C22" s="14">
        <f>COUNTIFS('Test Cases'!$A$2:$A$239,$A22,'Test Cases'!$G$2:$G$239,"Pass")</f>
        <v/>
      </c>
      <c r="D22" s="14">
        <f>COUNTIFS('Test Cases'!$A$2:$A$239,$A22,'Test Cases'!$G$2:$G$239,"Fail")</f>
        <v/>
      </c>
      <c r="E22" s="14">
        <f>COUNTIFS('Test Cases'!$A$2:$A$239,$A22,'Test Cases'!$G$2:$G$239,"Blocked")</f>
        <v/>
      </c>
      <c r="F22" s="14">
        <f>COUNTIFS('Test Cases'!$A$2:$A$239,$A22,'Test Cases'!$G$2:$G$239,"Not run")</f>
        <v/>
      </c>
      <c r="G22" s="15">
        <f>IFERROR(($C22+$D22+$E22)/$B22,0)</f>
        <v/>
      </c>
    </row>
    <row r="23">
      <c r="A23" s="10" t="inlineStr">
        <is>
          <t>19. AI Assistant</t>
        </is>
      </c>
      <c r="B23" s="11">
        <f>COUNTIF('Test Cases'!$A$2:$A$239,$A23)</f>
        <v/>
      </c>
      <c r="C23" s="11">
        <f>COUNTIFS('Test Cases'!$A$2:$A$239,$A23,'Test Cases'!$G$2:$G$239,"Pass")</f>
        <v/>
      </c>
      <c r="D23" s="11">
        <f>COUNTIFS('Test Cases'!$A$2:$A$239,$A23,'Test Cases'!$G$2:$G$239,"Fail")</f>
        <v/>
      </c>
      <c r="E23" s="11">
        <f>COUNTIFS('Test Cases'!$A$2:$A$239,$A23,'Test Cases'!$G$2:$G$239,"Blocked")</f>
        <v/>
      </c>
      <c r="F23" s="11">
        <f>COUNTIFS('Test Cases'!$A$2:$A$239,$A23,'Test Cases'!$G$2:$G$239,"Not run")</f>
        <v/>
      </c>
      <c r="G23" s="12">
        <f>IFERROR(($C23+$D23+$E23)/$B23,0)</f>
        <v/>
      </c>
    </row>
    <row r="24">
      <c r="A24" s="13" t="inlineStr">
        <is>
          <t>20. Notifications, Audit and Background Jobs</t>
        </is>
      </c>
      <c r="B24" s="14">
        <f>COUNTIF('Test Cases'!$A$2:$A$239,$A24)</f>
        <v/>
      </c>
      <c r="C24" s="14">
        <f>COUNTIFS('Test Cases'!$A$2:$A$239,$A24,'Test Cases'!$G$2:$G$239,"Pass")</f>
        <v/>
      </c>
      <c r="D24" s="14">
        <f>COUNTIFS('Test Cases'!$A$2:$A$239,$A24,'Test Cases'!$G$2:$G$239,"Fail")</f>
        <v/>
      </c>
      <c r="E24" s="14">
        <f>COUNTIFS('Test Cases'!$A$2:$A$239,$A24,'Test Cases'!$G$2:$G$239,"Blocked")</f>
        <v/>
      </c>
      <c r="F24" s="14">
        <f>COUNTIFS('Test Cases'!$A$2:$A$239,$A24,'Test Cases'!$G$2:$G$239,"Not run")</f>
        <v/>
      </c>
      <c r="G24" s="15">
        <f>IFERROR(($C24+$D24+$E24)/$B24,0)</f>
        <v/>
      </c>
    </row>
    <row r="25">
      <c r="A25" s="10" t="inlineStr">
        <is>
          <t>21. Public Site, Enquiries and Legal</t>
        </is>
      </c>
      <c r="B25" s="11">
        <f>COUNTIF('Test Cases'!$A$2:$A$239,$A25)</f>
        <v/>
      </c>
      <c r="C25" s="11">
        <f>COUNTIFS('Test Cases'!$A$2:$A$239,$A25,'Test Cases'!$G$2:$G$239,"Pass")</f>
        <v/>
      </c>
      <c r="D25" s="11">
        <f>COUNTIFS('Test Cases'!$A$2:$A$239,$A25,'Test Cases'!$G$2:$G$239,"Fail")</f>
        <v/>
      </c>
      <c r="E25" s="11">
        <f>COUNTIFS('Test Cases'!$A$2:$A$239,$A25,'Test Cases'!$G$2:$G$239,"Blocked")</f>
        <v/>
      </c>
      <c r="F25" s="11">
        <f>COUNTIFS('Test Cases'!$A$2:$A$239,$A25,'Test Cases'!$G$2:$G$239,"Not run")</f>
        <v/>
      </c>
      <c r="G25" s="12">
        <f>IFERROR(($C25+$D25+$E25)/$B25,0)</f>
        <v/>
      </c>
    </row>
    <row r="26">
      <c r="A26" s="13" t="inlineStr">
        <is>
          <t>22. Performance, Scale and Resilience</t>
        </is>
      </c>
      <c r="B26" s="14">
        <f>COUNTIF('Test Cases'!$A$2:$A$239,$A26)</f>
        <v/>
      </c>
      <c r="C26" s="14">
        <f>COUNTIFS('Test Cases'!$A$2:$A$239,$A26,'Test Cases'!$G$2:$G$239,"Pass")</f>
        <v/>
      </c>
      <c r="D26" s="14">
        <f>COUNTIFS('Test Cases'!$A$2:$A$239,$A26,'Test Cases'!$G$2:$G$239,"Fail")</f>
        <v/>
      </c>
      <c r="E26" s="14">
        <f>COUNTIFS('Test Cases'!$A$2:$A$239,$A26,'Test Cases'!$G$2:$G$239,"Blocked")</f>
        <v/>
      </c>
      <c r="F26" s="14">
        <f>COUNTIFS('Test Cases'!$A$2:$A$239,$A26,'Test Cases'!$G$2:$G$239,"Not run")</f>
        <v/>
      </c>
      <c r="G26" s="15">
        <f>IFERROR(($C26+$D26+$E26)/$B26,0)</f>
        <v/>
      </c>
    </row>
    <row r="27">
      <c r="A27" s="10" t="inlineStr">
        <is>
          <t>23. Regression Traps - Defects Already Found in This Build</t>
        </is>
      </c>
      <c r="B27" s="11">
        <f>COUNTIF('Test Cases'!$A$2:$A$239,$A27)</f>
        <v/>
      </c>
      <c r="C27" s="11">
        <f>COUNTIFS('Test Cases'!$A$2:$A$239,$A27,'Test Cases'!$G$2:$G$239,"Pass")</f>
        <v/>
      </c>
      <c r="D27" s="11">
        <f>COUNTIFS('Test Cases'!$A$2:$A$239,$A27,'Test Cases'!$G$2:$G$239,"Fail")</f>
        <v/>
      </c>
      <c r="E27" s="11">
        <f>COUNTIFS('Test Cases'!$A$2:$A$239,$A27,'Test Cases'!$G$2:$G$239,"Blocked")</f>
        <v/>
      </c>
      <c r="F27" s="11">
        <f>COUNTIFS('Test Cases'!$A$2:$A$239,$A27,'Test Cases'!$G$2:$G$239,"Not run")</f>
        <v/>
      </c>
      <c r="G27" s="12">
        <f>IFERROR(($C27+$D27+$E27)/$B27,0)</f>
        <v/>
      </c>
    </row>
    <row r="28">
      <c r="A28" s="16" t="inlineStr">
        <is>
          <t>Total</t>
        </is>
      </c>
      <c r="B28" s="17">
        <f>SUM(B5:B27)</f>
        <v/>
      </c>
      <c r="C28" s="17">
        <f>SUM(C5:C27)</f>
        <v/>
      </c>
      <c r="D28" s="17">
        <f>SUM(D5:D27)</f>
        <v/>
      </c>
      <c r="E28" s="17">
        <f>SUM(E5:E27)</f>
        <v/>
      </c>
      <c r="F28" s="17">
        <f>SUM(F5:F27)</f>
        <v/>
      </c>
      <c r="G28" s="18">
        <f>IFERROR(($C28+$D28+$E28)/$B28,0)</f>
        <v/>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110" customWidth="1" min="2" max="2"/>
  </cols>
  <sheetData>
    <row r="1">
      <c r="A1" s="19" t="inlineStr">
        <is>
          <t>Desk Portal / PIO Manage - test case workbook</t>
        </is>
      </c>
    </row>
    <row r="3">
      <c r="A3" s="20" t="inlineStr">
        <is>
          <t>Fill in</t>
        </is>
      </c>
      <c r="B3" s="21" t="inlineStr">
        <is>
          <t>On the Test Cases sheet, only the four SHADED columns are yours: Result, Tester, Date and Notes / defect ref. Everything to their left is the plan and should not be edited here - change it in the generator so the PDF and this workbook stay in step.</t>
        </is>
      </c>
    </row>
    <row r="4">
      <c r="A4" s="20" t="inlineStr">
        <is>
          <t>Result</t>
        </is>
      </c>
      <c r="B4" s="21" t="inlineStr">
        <is>
          <t>Pick from the dropdown: Not run, Pass, Fail, Blocked, N/A. The cell colours itself, and the Summary sheet recounts automatically.</t>
        </is>
      </c>
    </row>
    <row r="5">
      <c r="A5" s="20" t="inlineStr">
        <is>
          <t>Filtering</t>
        </is>
      </c>
      <c r="B5" s="21" t="inlineStr">
        <is>
          <t>Row 1 has filters. Filter Module to work one area at a time, or Result = Fail to review defects.</t>
        </is>
      </c>
    </row>
    <row r="7">
      <c r="A7" s="20" t="inlineStr">
        <is>
          <t>Three rules</t>
        </is>
      </c>
      <c r="B7" s="22" t="inlineStr">
        <is>
          <t>These decide whether a pass means anything in this system:</t>
        </is>
      </c>
    </row>
    <row r="8">
      <c r="A8" s="20" t="inlineStr"/>
      <c r="B8" s="21" t="inlineStr">
        <is>
          <t>1. Confirm the build under test is newer than the fix you are testing. More time has been lost here to stale builds than to real defects.</t>
        </is>
      </c>
    </row>
    <row r="9">
      <c r="A9" s="20" t="inlineStr"/>
      <c r="B9" s="21" t="inlineStr">
        <is>
          <t>2. A check that matches something already true is not a check. When waiting on a sync or a rollup, capture the current timestamp first and wait for a DIFFERENT one.</t>
        </is>
      </c>
    </row>
    <row r="10">
      <c r="A10" s="20" t="inlineStr"/>
      <c r="B10" s="21" t="inlineStr">
        <is>
          <t>3. Absence of an error is not evidence. An unmapped value, a skipped ticket and a truncated import all look exactly like normal successful operation.</t>
        </is>
      </c>
    </row>
    <row r="12">
      <c r="A12" s="20" t="inlineStr">
        <is>
          <t>Example row</t>
        </is>
      </c>
      <c r="B12" s="22" t="inlineStr">
        <is>
          <t>How a completed row should look:</t>
        </is>
      </c>
    </row>
    <row r="13">
      <c r="A13" s="23" t="inlineStr">
        <is>
          <t>ID</t>
        </is>
      </c>
      <c r="B13" s="23" t="inlineStr">
        <is>
          <t>Result</t>
        </is>
      </c>
      <c r="C13" s="23" t="inlineStr">
        <is>
          <t>Tester</t>
        </is>
      </c>
      <c r="D13" s="23" t="inlineStr">
        <is>
          <t>Date</t>
        </is>
      </c>
      <c r="E13" s="23" t="inlineStr">
        <is>
          <t>Notes / defect ref</t>
        </is>
      </c>
    </row>
    <row r="14">
      <c r="A14" s="10" t="inlineStr">
        <is>
          <t>SYNC-02</t>
        </is>
      </c>
      <c r="B14" s="24" t="inlineStr">
        <is>
          <t>Fail</t>
        </is>
      </c>
      <c r="C14" s="24" t="inlineStr">
        <is>
          <t>A. Tester</t>
        </is>
      </c>
      <c r="D14" s="24" t="inlineStr">
        <is>
          <t>2026-09-08</t>
        </is>
      </c>
      <c r="E14" s="24" t="inlineStr">
        <is>
          <t>Imported 100 of 135. Raised DESK-412.</t>
        </is>
      </c>
    </row>
    <row r="16">
      <c r="A16" s="20" t="inlineStr">
        <is>
          <t>Not covered</t>
        </is>
      </c>
      <c r="B16" s="21" t="inlineStr">
        <is>
          <t>Stated so nobody assumes otherwise: there is no SMTP anywhere in the stack, so email delivery cannot be tested - enquiries and reports are stored for in-portal download. Load testing, DAST and penetration testing are authored but have never run against the live stack. Disaster recovery is documented but never rehearsed. ConnectWise closure dates cannot be verified until a ticket is actually closed in that sandbox, and the legal pages still contain unfilled placeholders.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8" customWidth="1" min="1" max="1"/>
    <col width="110" customWidth="1" min="2" max="2"/>
  </cols>
  <sheetData>
    <row r="1">
      <c r="A1" s="6" t="inlineStr">
        <is>
          <t>Reference - access, SQL and log lines</t>
        </is>
      </c>
    </row>
    <row r="3">
      <c r="A3" s="25" t="inlineStr">
        <is>
          <t>Getting in</t>
        </is>
      </c>
    </row>
    <row r="4">
      <c r="A4" s="26" t="inlineStr">
        <is>
          <t>Database</t>
        </is>
      </c>
      <c r="B4" s="27" t="inlineStr">
        <is>
          <t>docker exec desk-portal-prod-postgres-1 psql -U desk -d desk_portal -c "&lt;query&gt;"</t>
        </is>
      </c>
    </row>
    <row r="5">
      <c r="A5" s="26" t="inlineStr">
        <is>
          <t>Worker log</t>
        </is>
      </c>
      <c r="B5" s="27" t="inlineStr">
        <is>
          <t>docker logs desk-portal-prod-worker-1 --since 30m</t>
        </is>
      </c>
    </row>
    <row r="6">
      <c r="A6" s="26" t="inlineStr">
        <is>
          <t>Unit suite</t>
        </is>
      </c>
      <c r="B6" s="27" t="inlineStr">
        <is>
          <t>dotnet test tests/unit</t>
        </is>
      </c>
    </row>
    <row r="8">
      <c r="A8" s="25" t="inlineStr">
        <is>
          <t>SQL cookbook</t>
        </is>
      </c>
    </row>
    <row r="9">
      <c r="A9" s="28" t="inlineStr">
        <is>
          <t>Is anything actually mapping?</t>
        </is>
      </c>
      <c r="B9" s="29" t="inlineStr">
        <is>
          <t>select c."Name", count(*) tickets, count(*) filter (where t."PsaStatus"=t."PortalStatus") status_raw, count(*) filter (where t."PsaPriority"=t."PortalPriority") priority_raw from tickets t join psa_connections c on c."Id"=t."PsaConnectionId" group by 1;</t>
        </is>
      </c>
    </row>
    <row r="10">
      <c r="A10" s="28" t="inlineStr">
        <is>
          <t>Date coverage</t>
        </is>
      </c>
      <c r="B10" s="29" t="inlineStr">
        <is>
          <t>select c."Name", count(*) total, count(t."PsaCreatedAt") raised, count(t."SlaDueAt") sla, count(t."ClosedAt") closed from tickets t join psa_connections c on c."Id"=t."PsaConnectionId" group by 1;</t>
        </is>
      </c>
    </row>
    <row r="11">
      <c r="A11" s="28" t="inlineStr">
        <is>
          <t>Inbound mapping ambiguity (must return 0 rows)</t>
        </is>
      </c>
      <c r="B11" s="29" t="inlineStr">
        <is>
          <t>select "PsaConnectionId","PortalField","ExternalValue",count(*) from field_mappings where "IsActive" and "Direction" in (2,3) group by 1,2,3 having count(*)&gt;1;</t>
        </is>
      </c>
    </row>
    <row r="12">
      <c r="A12" s="28" t="inlineStr">
        <is>
          <t>Outbound mapping ambiguity (must return 0 rows)</t>
        </is>
      </c>
      <c r="B12" s="29" t="inlineStr">
        <is>
          <t>select "PsaConnectionId","PortalField","PortalValue",count(*) from field_mappings where "IsActive" and "Direction" in (1,3) group by 1,2,3 having count(*)&gt;1;</t>
        </is>
      </c>
    </row>
    <row r="13">
      <c r="A13" s="28" t="inlineStr">
        <is>
          <t>Duplicate tickets after a paginated import (must return 0 rows)</t>
        </is>
      </c>
      <c r="B13" s="29" t="inlineStr">
        <is>
          <t>select "PsaConnectionId","ExternalTicketId",count(*) from tickets group by 1,2 having count(*)&gt;1;</t>
        </is>
      </c>
    </row>
    <row r="14">
      <c r="A14" s="28" t="inlineStr">
        <is>
          <t>Connection health</t>
        </is>
      </c>
      <c r="B14" s="29" t="inlineStr">
        <is>
          <t>select "Name","Status","IsEnabled","LastSuccessfulSyncAt","LastError" from psa_connections;</t>
        </is>
      </c>
    </row>
    <row r="15">
      <c r="A15" s="28" t="inlineStr">
        <is>
          <t>Force a full re-sync of everything</t>
        </is>
      </c>
      <c r="B15" s="29" t="inlineStr">
        <is>
          <t>update psa_connections set "LastSuccessfulSyncAt"=NULL;</t>
        </is>
      </c>
    </row>
    <row r="16">
      <c r="A16" s="28" t="inlineStr">
        <is>
          <t>Activity rollup state</t>
        </is>
      </c>
      <c r="B16" s="29" t="inlineStr">
        <is>
          <t>select (select count(*) from activity_events) events, (select count(*) from activity_daily_facts) facts, (select sum("EventCount") from activity_daily_facts) rolled_up;</t>
        </is>
      </c>
    </row>
    <row r="17">
      <c r="A17" s="28" t="inlineStr">
        <is>
          <t>Events by the day they happened</t>
        </is>
      </c>
      <c r="B17" s="29" t="inlineStr">
        <is>
          <t>select "OccurredAt"::date d, count(*) from activity_events group by 1 order by 1;</t>
        </is>
      </c>
    </row>
    <row r="18">
      <c r="A18" s="28" t="inlineStr">
        <is>
          <t>Open-ticket count as the client report computes it</t>
        </is>
      </c>
      <c r="B18" s="29" t="inlineStr">
        <is>
          <t>select count(*) from tickets where "PortalStatus" in ('NEW','IN_PROGRESS','WAITING_CUSTOMER','ON_HOLD');</t>
        </is>
      </c>
    </row>
    <row r="19">
      <c r="A19" s="28" t="inlineStr">
        <is>
          <t>All mapping rules for one connection</t>
        </is>
      </c>
      <c r="B19" s="29" t="inlineStr">
        <is>
          <t>select "PortalField","PortalValue","ExternalValue","Direction","IsActive" from field_mappings where "PsaConnectionId"='&lt;id&gt;' order by 1,2;</t>
        </is>
      </c>
    </row>
    <row r="21">
      <c r="A21" s="25" t="inlineStr">
        <is>
          <t>Log lines worth grepping</t>
        </is>
      </c>
    </row>
    <row r="22">
      <c r="A22" s="30" t="inlineStr">
        <is>
          <t>No mapping rule matches</t>
        </is>
      </c>
      <c r="B22" s="2" t="inlineStr">
        <is>
          <t>A provider value nothing maps. Once per sync run.</t>
        </is>
      </c>
    </row>
    <row r="23">
      <c r="A23" s="30" t="inlineStr">
        <is>
          <t>Scheduled sync failed</t>
        </is>
      </c>
      <c r="B23" s="2" t="inlineStr">
        <is>
          <t>A connection's sync threw. The exception follows in @x.</t>
        </is>
      </c>
    </row>
    <row r="24">
      <c r="A24" s="30" t="inlineStr">
        <is>
          <t>safety cap</t>
        </is>
      </c>
      <c r="B24" s="2" t="inlineStr">
        <is>
          <t>The run stopped at 50 pages with more to read - the import is incomplete.</t>
        </is>
      </c>
    </row>
    <row r="25">
      <c r="A25" s="30" t="inlineStr">
        <is>
          <t>Activity rollup:</t>
        </is>
      </c>
      <c r="B25" s="2" t="inlineStr">
        <is>
          <t>Days recomputed, facts written, raw events expired.</t>
        </is>
      </c>
    </row>
    <row r="26">
      <c r="A26" s="30" t="inlineStr">
        <is>
          <t>picklist</t>
        </is>
      </c>
      <c r="B26" s="2" t="inlineStr">
        <is>
          <t>Autotask option ids and labels - use it to read a rule that holds a bare id.</t>
        </is>
      </c>
    </row>
    <row r="27">
      <c r="A27" s="30" t="inlineStr">
        <is>
          <t>ConnectWise ticket fields</t>
        </is>
      </c>
      <c r="B27" s="2" t="inlineStr">
        <is>
          <t>Which fields the provider actually sent, unioned across the page. Field names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2026-09-05T10:05:58Z</dcterms:created>
  <dcterms:modified xsi:type="dcterms:W3CDTF">2026-09-05T10:05:58Z</dcterms:modified>
</cp:coreProperties>
</file>